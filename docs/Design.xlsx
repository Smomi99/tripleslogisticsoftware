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3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4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5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drawings/drawing6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drawings/drawing7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drawings/drawing8.xml" ContentType="application/vnd.openxmlformats-officedocument.drawing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drawings/drawing9.xml" ContentType="application/vnd.openxmlformats-officedocument.drawing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drawings/drawing10.xml" ContentType="application/vnd.openxmlformats-officedocument.drawing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11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drawings/drawing12.xml" ContentType="application/vnd.openxmlformats-officedocument.drawing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drawings/drawing13.xml" ContentType="application/vnd.openxmlformats-officedocument.drawing+xml"/>
  <Override PartName="/xl/ctrlProps/ctrlProp73.xml" ContentType="application/vnd.ms-excel.controlproperties+xml"/>
  <Override PartName="/xl/drawings/drawing14.xml" ContentType="application/vnd.openxmlformats-officedocument.drawing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drawings/drawing15.xml" ContentType="application/vnd.openxmlformats-officedocument.drawing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trlProps/ctrlProp86.xml" ContentType="application/vnd.ms-excel.controlproperties+xml"/>
  <Override PartName="/xl/drawings/drawing18.xml" ContentType="application/vnd.openxmlformats-officedocument.drawing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drawings/drawing19.xml" ContentType="application/vnd.openxmlformats-officedocument.drawing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drawings/drawing22.xml" ContentType="application/vnd.openxmlformats-officedocument.drawing+xml"/>
  <Override PartName="/xl/ctrlProps/ctrlProp101.xml" ContentType="application/vnd.ms-excel.controlproperties+xml"/>
  <Override PartName="/xl/ctrlProps/ctrlProp102.xml" ContentType="application/vnd.ms-excel.controlproperties+xml"/>
  <Override PartName="/xl/drawings/drawing23.xml" ContentType="application/vnd.openxmlformats-officedocument.drawing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drawings/drawing24.xml" ContentType="application/vnd.openxmlformats-officedocument.drawing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drawings/drawing25.xml" ContentType="application/vnd.openxmlformats-officedocument.drawing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drawings/drawing26.xml" ContentType="application/vnd.openxmlformats-officedocument.drawing+xml"/>
  <Override PartName="/xl/ctrlProps/ctrlProp112.xml" ContentType="application/vnd.ms-excel.controlproperties+xml"/>
  <Override PartName="/xl/drawings/drawing27.xml" ContentType="application/vnd.openxmlformats-officedocument.drawing+xml"/>
  <Override PartName="/xl/ctrlProps/ctrlProp113.xml" ContentType="application/vnd.ms-excel.controlproperties+xml"/>
  <Override PartName="/xl/drawings/drawing28.xml" ContentType="application/vnd.openxmlformats-officedocument.drawing+xml"/>
  <Override PartName="/xl/ctrlProps/ctrlProp114.xml" ContentType="application/vnd.ms-excel.controlproperties+xml"/>
  <Override PartName="/xl/drawings/drawing29.xml" ContentType="application/vnd.openxmlformats-officedocument.drawing+xml"/>
  <Override PartName="/xl/ctrlProps/ctrlProp115.xml" ContentType="application/vnd.ms-excel.controlproperties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ctrlProps/ctrlProp116.xml" ContentType="application/vnd.ms-excel.controlproperties+xml"/>
  <Override PartName="/xl/drawings/drawing34.xml" ContentType="application/vnd.openxmlformats-officedocument.drawing+xml"/>
  <Override PartName="/xl/ctrlProps/ctrlProp117.xml" ContentType="application/vnd.ms-excel.controlproperties+xml"/>
  <Override PartName="/xl/drawings/drawing35.xml" ContentType="application/vnd.openxmlformats-officedocument.drawing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drawings/drawing36.xml" ContentType="application/vnd.openxmlformats-officedocument.drawing+xml"/>
  <Override PartName="/xl/ctrlProps/ctrlProp126.xml" ContentType="application/vnd.ms-excel.controlproperties+xml"/>
  <Override PartName="/xl/drawings/drawing37.xml" ContentType="application/vnd.openxmlformats-officedocument.drawing+xml"/>
  <Override PartName="/xl/ctrlProps/ctrlProp127.xml" ContentType="application/vnd.ms-excel.controlproperties+xml"/>
  <Override PartName="/xl/drawings/drawing38.xml" ContentType="application/vnd.openxmlformats-officedocument.drawing+xml"/>
  <Override PartName="/xl/ctrlProps/ctrlProp128.xml" ContentType="application/vnd.ms-excel.controlproperties+xml"/>
  <Override PartName="/xl/drawings/drawing39.xml" ContentType="application/vnd.openxmlformats-officedocument.drawing+xml"/>
  <Override PartName="/xl/ctrlProps/ctrlProp129.xml" ContentType="application/vnd.ms-excel.controlproperties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drawings/drawing43.xml" ContentType="application/vnd.openxmlformats-officedocument.drawing+xml"/>
  <Override PartName="/xl/ctrlProps/ctrlProp133.xml" ContentType="application/vnd.ms-excel.controlproperties+xml"/>
  <Override PartName="/xl/drawings/drawing44.xml" ContentType="application/vnd.openxmlformats-officedocument.drawing+xml"/>
  <Override PartName="/xl/ctrlProps/ctrlProp134.xml" ContentType="application/vnd.ms-excel.controlproperties+xml"/>
  <Override PartName="/xl/drawings/drawing45.xml" ContentType="application/vnd.openxmlformats-officedocument.drawing+xml"/>
  <Override PartName="/xl/ctrlProps/ctrlProp135.xml" ContentType="application/vnd.ms-excel.controlproperties+xml"/>
  <Override PartName="/xl/drawings/drawing46.xml" ContentType="application/vnd.openxmlformats-officedocument.drawing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drawings/drawing47.xml" ContentType="application/vnd.openxmlformats-officedocument.drawing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drawings/drawing48.xml" ContentType="application/vnd.openxmlformats-officedocument.drawing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drawings/drawing49.xml" ContentType="application/vnd.openxmlformats-officedocument.drawing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drawings/drawing50.xml" ContentType="application/vnd.openxmlformats-officedocument.drawing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drawings/drawing51.xml" ContentType="application/vnd.openxmlformats-officedocument.drawing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drawings/drawing52.xml" ContentType="application/vnd.openxmlformats-officedocument.drawing+xml"/>
  <Override PartName="/xl/ctrlProps/ctrlProp154.xml" ContentType="application/vnd.ms-excel.controlproperties+xml"/>
  <Override PartName="/xl/drawings/drawing53.xml" ContentType="application/vnd.openxmlformats-officedocument.drawing+xml"/>
  <Override PartName="/xl/ctrlProps/ctrlProp155.xml" ContentType="application/vnd.ms-excel.controlproperties+xml"/>
  <Override PartName="/xl/drawings/drawing54.xml" ContentType="application/vnd.openxmlformats-officedocument.drawing+xml"/>
  <Override PartName="/xl/ctrlProps/ctrlProp156.xml" ContentType="application/vnd.ms-excel.controlproperties+xml"/>
  <Override PartName="/xl/ctrlProps/ctrlProp157.xml" ContentType="application/vnd.ms-excel.controlproperties+xml"/>
  <Override PartName="/xl/drawings/drawing55.xml" ContentType="application/vnd.openxmlformats-officedocument.drawing+xml"/>
  <Override PartName="/xl/ctrlProps/ctrlProp158.xml" ContentType="application/vnd.ms-excel.controlproperties+xml"/>
  <Override PartName="/xl/ctrlProps/ctrlProp159.xml" ContentType="application/vnd.ms-excel.controlproperties+xml"/>
  <Override PartName="/xl/drawings/drawing56.xml" ContentType="application/vnd.openxmlformats-officedocument.drawing+xml"/>
  <Override PartName="/xl/ctrlProps/ctrlProp160.xml" ContentType="application/vnd.ms-excel.controlproperties+xml"/>
  <Override PartName="/xl/drawings/drawing57.xml" ContentType="application/vnd.openxmlformats-officedocument.drawing+xml"/>
  <Override PartName="/xl/ctrlProps/ctrlProp161.xml" ContentType="application/vnd.ms-excel.controlproperties+xml"/>
  <Override PartName="/xl/ctrlProps/ctrlProp162.xml" ContentType="application/vnd.ms-excel.controlproperties+xml"/>
  <Override PartName="/xl/drawings/drawing58.xml" ContentType="application/vnd.openxmlformats-officedocument.drawing+xml"/>
  <Override PartName="/xl/ctrlProps/ctrlProp163.xml" ContentType="application/vnd.ms-excel.controlproperties+xml"/>
  <Override PartName="/xl/drawings/drawing59.xml" ContentType="application/vnd.openxmlformats-officedocument.drawing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drawings/drawing60.xml" ContentType="application/vnd.openxmlformats-officedocument.drawing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drawings/drawing61.xml" ContentType="application/vnd.openxmlformats-officedocument.drawing+xml"/>
  <Override PartName="/xl/ctrlProps/ctrlProp172.xml" ContentType="application/vnd.ms-excel.controlproperties+xml"/>
  <Override PartName="/xl/ctrlProps/ctrlProp173.xml" ContentType="application/vnd.ms-excel.controlproperties+xml"/>
  <Override PartName="/xl/drawings/drawing62.xml" ContentType="application/vnd.openxmlformats-officedocument.drawing+xml"/>
  <Override PartName="/xl/ctrlProps/ctrlProp174.xml" ContentType="application/vnd.ms-excel.controlproperties+xml"/>
  <Override PartName="/xl/drawings/drawing63.xml" ContentType="application/vnd.openxmlformats-officedocument.drawing+xml"/>
  <Override PartName="/xl/ctrlProps/ctrlProp175.xml" ContentType="application/vnd.ms-excel.controlproperties+xml"/>
  <Override PartName="/xl/drawings/drawing64.xml" ContentType="application/vnd.openxmlformats-officedocument.drawing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drawings/drawing65.xml" ContentType="application/vnd.openxmlformats-officedocument.drawing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drawings/drawing66.xml" ContentType="application/vnd.openxmlformats-officedocument.drawing+xml"/>
  <Override PartName="/xl/ctrlProps/ctrlProp188.xml" ContentType="application/vnd.ms-excel.controlproperties+xml"/>
  <Override PartName="/xl/drawings/drawing67.xml" ContentType="application/vnd.openxmlformats-officedocument.drawing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drawings/drawing68.xml" ContentType="application/vnd.openxmlformats-officedocument.drawing+xml"/>
  <Override PartName="/xl/ctrlProps/ctrlProp196.xml" ContentType="application/vnd.ms-excel.controlproperties+xml"/>
  <Override PartName="/xl/drawings/drawing69.xml" ContentType="application/vnd.openxmlformats-officedocument.drawing+xml"/>
  <Override PartName="/xl/ctrlProps/ctrlProp197.xml" ContentType="application/vnd.ms-excel.controlproperties+xml"/>
  <Override PartName="/xl/ctrlProps/ctrlProp198.xml" ContentType="application/vnd.ms-excel.controlproperties+xml"/>
  <Override PartName="/xl/drawings/drawing70.xml" ContentType="application/vnd.openxmlformats-officedocument.drawing+xml"/>
  <Override PartName="/xl/ctrlProps/ctrlProp199.xml" ContentType="application/vnd.ms-excel.controlproperties+xml"/>
  <Override PartName="/xl/drawings/drawing71.xml" ContentType="application/vnd.openxmlformats-officedocument.drawing+xml"/>
  <Override PartName="/xl/ctrlProps/ctrlProp20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tabRatio="880" firstSheet="24" activeTab="33"/>
  </bookViews>
  <sheets>
    <sheet name="Menu" sheetId="1" r:id="rId1"/>
    <sheet name="Tarrif" sheetId="85" r:id="rId2"/>
    <sheet name="Report" sheetId="72" r:id="rId3"/>
    <sheet name="SF Purchase FCL" sheetId="2" r:id="rId4"/>
    <sheet name="SF PRICE ADD-FCL" sheetId="7" r:id="rId5"/>
    <sheet name="SF FCL List" sheetId="5" r:id="rId6"/>
    <sheet name="SF Purchase LCL" sheetId="6" r:id="rId7"/>
    <sheet name="SF Price ADD-on LCL" sheetId="8" r:id="rId8"/>
    <sheet name="SF LCL List" sheetId="10" r:id="rId9"/>
    <sheet name="AF Purchase" sheetId="4" r:id="rId10"/>
    <sheet name="AF Price Add-on" sheetId="9" r:id="rId11"/>
    <sheet name="AF Price List" sheetId="11" r:id="rId12"/>
    <sheet name="New Inquiry" sheetId="12" r:id="rId13"/>
    <sheet name="Inquiry List" sheetId="13" r:id="rId14"/>
    <sheet name="Inquiry List for Agent" sheetId="35" r:id="rId15"/>
    <sheet name="Price Check" sheetId="34" r:id="rId16"/>
    <sheet name="Quotation" sheetId="14" r:id="rId17"/>
    <sheet name="Quotation PDF for emal" sheetId="37" r:id="rId18"/>
    <sheet name="Quotation List" sheetId="36" r:id="rId19"/>
    <sheet name="Shipment Booking-Sea" sheetId="38" r:id="rId20"/>
    <sheet name="Shipment Booking-Air" sheetId="46" r:id="rId21"/>
    <sheet name="Shipment Booking List" sheetId="39" r:id="rId22"/>
    <sheet name="Shipment Booking View" sheetId="40" r:id="rId23"/>
    <sheet name="Vessel Booking" sheetId="41" r:id="rId24"/>
    <sheet name="Flight Booking " sheetId="47" r:id="rId25"/>
    <sheet name="Vessel Booking approval" sheetId="42" r:id="rId26"/>
    <sheet name="Flight Booking approval" sheetId="48" r:id="rId27"/>
    <sheet name="Shipping Order-Sea" sheetId="43" r:id="rId28"/>
    <sheet name="Shipping Order-Air" sheetId="49" r:id="rId29"/>
    <sheet name="Cargo Receipt" sheetId="44" r:id="rId30"/>
    <sheet name="Stock" sheetId="52" r:id="rId31"/>
    <sheet name="CLP-sea" sheetId="50" r:id="rId32"/>
    <sheet name="CLP-sea list" sheetId="51" r:id="rId33"/>
    <sheet name="VGM" sheetId="87" r:id="rId34"/>
    <sheet name="EGM)" sheetId="89" r:id="rId35"/>
    <sheet name="Shipment Advise.-Sea" sheetId="53" r:id="rId36"/>
    <sheet name="Shipment Advise-Air" sheetId="55" r:id="rId37"/>
    <sheet name="Depart-Arrival Landing page" sheetId="75" r:id="rId38"/>
    <sheet name="Onboard confirmation-Sea" sheetId="73" r:id="rId39"/>
    <sheet name="Onboard confirmation-Air" sheetId="74" r:id="rId40"/>
    <sheet name="Pre Alert-Sea" sheetId="83" r:id="rId41"/>
    <sheet name="Trasnshipment con-sea" sheetId="76" r:id="rId42"/>
    <sheet name="Trasnshipment con-air" sheetId="77" r:id="rId43"/>
    <sheet name="Arrival-Sea" sheetId="80" r:id="rId44"/>
    <sheet name="Arrival-Air" sheetId="79" r:id="rId45"/>
    <sheet name="IGM Update" sheetId="78" r:id="rId46"/>
    <sheet name="DO issue" sheetId="81" r:id="rId47"/>
    <sheet name="BL Draft-outbound" sheetId="54" r:id="rId48"/>
    <sheet name="Copy doc upload" sheetId="86" r:id="rId49"/>
    <sheet name="BL Draft-outbound-Customer" sheetId="56" r:id="rId50"/>
    <sheet name="Awaiting Debit Note" sheetId="58" r:id="rId51"/>
    <sheet name="Credit Invoice" sheetId="59" r:id="rId52"/>
    <sheet name="Debit Invoice" sheetId="65" r:id="rId53"/>
    <sheet name="Receiveable-Payable list" sheetId="60" r:id="rId54"/>
    <sheet name="Chart of accounts" sheetId="61" r:id="rId55"/>
    <sheet name="Journal" sheetId="62" r:id="rId56"/>
    <sheet name="Expense-Vendor" sheetId="63" r:id="rId57"/>
    <sheet name="Expense-regular" sheetId="64" r:id="rId58"/>
    <sheet name="Income" sheetId="66" r:id="rId59"/>
    <sheet name="Income-Other" sheetId="69" r:id="rId60"/>
    <sheet name="Internal Transfer" sheetId="70" r:id="rId61"/>
    <sheet name="Income statement" sheetId="82" r:id="rId62"/>
    <sheet name="Shipment Profitabilit" sheetId="84" r:id="rId63"/>
    <sheet name="sea-airport list" sheetId="15" r:id="rId64"/>
    <sheet name="cost Head" sheetId="16" r:id="rId65"/>
    <sheet name="Currency" sheetId="17" r:id="rId66"/>
    <sheet name="Vessel" sheetId="18" r:id="rId67"/>
    <sheet name="Carrier" sheetId="19" r:id="rId68"/>
    <sheet name="Carrier_PIC" sheetId="21" r:id="rId69"/>
    <sheet name="Carrier Service Port" sheetId="22" r:id="rId70"/>
    <sheet name="Carrier Service Port_pair" sheetId="33" r:id="rId71"/>
    <sheet name="Vendor" sheetId="20" r:id="rId72"/>
    <sheet name="Vendor_Contact_Person" sheetId="23" r:id="rId73"/>
    <sheet name="Industry_Sector_Catagory" sheetId="24" r:id="rId74"/>
    <sheet name="Commodity_Catagory_Item_List" sheetId="25" r:id="rId75"/>
    <sheet name="Local Sales" sheetId="57" r:id="rId76"/>
    <sheet name="Business Matrix" sheetId="90" r:id="rId77"/>
    <sheet name="Customer" sheetId="26" r:id="rId78"/>
    <sheet name="Customer_PIC" sheetId="27" r:id="rId79"/>
    <sheet name="Agent" sheetId="28" r:id="rId80"/>
    <sheet name="Agent_PIC" sheetId="29" r:id="rId81"/>
    <sheet name="Employee" sheetId="30" r:id="rId82"/>
    <sheet name="Employee_CV" sheetId="31" r:id="rId83"/>
    <sheet name="Employee_salary" sheetId="32" r:id="rId84"/>
    <sheet name="Notification" sheetId="71" r:id="rId85"/>
    <sheet name="bank setup" sheetId="67" r:id="rId86"/>
    <sheet name="Account setup" sheetId="68" r:id="rId87"/>
    <sheet name="Inquiry reportmen" sheetId="88" r:id="rId88"/>
  </sheets>
  <calcPr calcId="152511"/>
</workbook>
</file>

<file path=xl/calcChain.xml><?xml version="1.0" encoding="utf-8"?>
<calcChain xmlns="http://schemas.openxmlformats.org/spreadsheetml/2006/main">
  <c r="G8" i="59" l="1"/>
  <c r="L21" i="55" l="1"/>
  <c r="H21" i="55"/>
  <c r="G21" i="55"/>
  <c r="F21" i="55"/>
  <c r="E21" i="55"/>
  <c r="L21" i="53"/>
  <c r="H21" i="53"/>
  <c r="G21" i="53"/>
  <c r="F21" i="53"/>
  <c r="E21" i="53"/>
  <c r="R10" i="52"/>
  <c r="N10" i="52"/>
  <c r="M10" i="52"/>
  <c r="L10" i="52"/>
  <c r="K10" i="52"/>
  <c r="O20" i="51" l="1"/>
  <c r="P20" i="51"/>
  <c r="N20" i="51"/>
  <c r="M20" i="51"/>
  <c r="T20" i="51"/>
  <c r="O32" i="50"/>
  <c r="P32" i="50"/>
  <c r="N32" i="50"/>
  <c r="U30" i="50"/>
  <c r="U31" i="50" s="1"/>
  <c r="O20" i="50"/>
  <c r="L27" i="37" l="1"/>
  <c r="J27" i="37"/>
  <c r="L26" i="37"/>
  <c r="J26" i="37"/>
  <c r="L25" i="37"/>
  <c r="J25" i="37"/>
  <c r="L24" i="37"/>
  <c r="J24" i="37"/>
  <c r="L23" i="37"/>
  <c r="J23" i="37"/>
  <c r="L22" i="37"/>
  <c r="J22" i="37"/>
  <c r="L21" i="37"/>
  <c r="J21" i="37"/>
  <c r="L20" i="37"/>
  <c r="J20" i="37"/>
  <c r="L19" i="37"/>
  <c r="J19" i="37"/>
  <c r="L18" i="37"/>
  <c r="J18" i="37"/>
  <c r="L17" i="37"/>
  <c r="J17" i="37"/>
  <c r="L28" i="37" l="1"/>
  <c r="J28" i="37"/>
  <c r="L28" i="14"/>
  <c r="L29" i="14"/>
  <c r="L30" i="14"/>
  <c r="J30" i="14"/>
  <c r="J29" i="14"/>
  <c r="J28" i="14"/>
  <c r="J21" i="14"/>
  <c r="J22" i="14"/>
  <c r="J23" i="14"/>
  <c r="J24" i="14"/>
  <c r="J25" i="14"/>
  <c r="J26" i="14"/>
  <c r="J27" i="14"/>
  <c r="J20" i="14"/>
  <c r="J31" i="14" s="1"/>
  <c r="L27" i="14"/>
  <c r="L26" i="14"/>
  <c r="L23" i="14"/>
  <c r="L24" i="14"/>
  <c r="L25" i="14"/>
  <c r="L21" i="14"/>
  <c r="L22" i="14"/>
  <c r="L20" i="14"/>
  <c r="L31" i="14" s="1"/>
</calcChain>
</file>

<file path=xl/sharedStrings.xml><?xml version="1.0" encoding="utf-8"?>
<sst xmlns="http://schemas.openxmlformats.org/spreadsheetml/2006/main" count="4281" uniqueCount="1610">
  <si>
    <t>Purchase</t>
  </si>
  <si>
    <t>Price List</t>
  </si>
  <si>
    <t>- Air Freight</t>
  </si>
  <si>
    <t>- Quotation</t>
  </si>
  <si>
    <t>- Quotation List</t>
  </si>
  <si>
    <t>Customer Service</t>
  </si>
  <si>
    <t>- Cargo Receipt</t>
  </si>
  <si>
    <t>Operation</t>
  </si>
  <si>
    <t>Documentation</t>
  </si>
  <si>
    <t>- BL Print</t>
  </si>
  <si>
    <t>Accounts</t>
  </si>
  <si>
    <t>- Awaiting Freight Inv</t>
  </si>
  <si>
    <t>Sales &amp; Marketing</t>
  </si>
  <si>
    <t>- New Inquiry</t>
  </si>
  <si>
    <t>- Sales Lead follow up</t>
  </si>
  <si>
    <t>Setting</t>
  </si>
  <si>
    <t>CRM</t>
  </si>
  <si>
    <t>- Sea-Air Port</t>
  </si>
  <si>
    <t>- Cost Head</t>
  </si>
  <si>
    <t>- Currency</t>
  </si>
  <si>
    <t xml:space="preserve">- Vessel </t>
  </si>
  <si>
    <t>- Warehouse</t>
  </si>
  <si>
    <t>- Carrier</t>
  </si>
  <si>
    <t>- Vendor</t>
  </si>
  <si>
    <t>- workstation</t>
  </si>
  <si>
    <t>Report</t>
  </si>
  <si>
    <t>- Income statement</t>
  </si>
  <si>
    <t>- Balance Sheet</t>
  </si>
  <si>
    <t>- Cash Flow Statement</t>
  </si>
  <si>
    <t>- TA/DA</t>
  </si>
  <si>
    <t>Lifting Report</t>
  </si>
  <si>
    <t>Customer wise Shipment</t>
  </si>
  <si>
    <t>Country wise shipment</t>
  </si>
  <si>
    <t>menu</t>
  </si>
  <si>
    <t>POL</t>
  </si>
  <si>
    <t>POD</t>
  </si>
  <si>
    <t>Carrier</t>
  </si>
  <si>
    <t>20STD</t>
  </si>
  <si>
    <t>40HC</t>
  </si>
  <si>
    <t>45FT</t>
  </si>
  <si>
    <t>40STD</t>
  </si>
  <si>
    <t>POL Local Charges</t>
  </si>
  <si>
    <t>Validity</t>
  </si>
  <si>
    <t>Purchase via</t>
  </si>
  <si>
    <t>ADD</t>
  </si>
  <si>
    <t>Goods type</t>
  </si>
  <si>
    <t>AOL</t>
  </si>
  <si>
    <t>AOD</t>
  </si>
  <si>
    <t>Airlines</t>
  </si>
  <si>
    <t>100+</t>
  </si>
  <si>
    <t>300+</t>
  </si>
  <si>
    <t>500+</t>
  </si>
  <si>
    <t>1000+</t>
  </si>
  <si>
    <t>Rate ( $) Per Kg</t>
  </si>
  <si>
    <t>Rate ( $) Per Container</t>
  </si>
  <si>
    <t>Search</t>
  </si>
  <si>
    <t>Edit | Delete</t>
  </si>
  <si>
    <t>Note :</t>
  </si>
  <si>
    <t xml:space="preserve">By default all valid rate will appeared </t>
  </si>
  <si>
    <t>AIR FREIGHT PURCHASE</t>
  </si>
  <si>
    <t>User can filter it with multiple port</t>
  </si>
  <si>
    <t>Rate can be download as in excel/pdf</t>
  </si>
  <si>
    <t>This rate included the profit. The profit added in different form.</t>
  </si>
  <si>
    <t>Only admin or price team can add the profit</t>
  </si>
  <si>
    <t>- Sea Freight ( FCL )</t>
  </si>
  <si>
    <t>- Sea Freight ( LCL )</t>
  </si>
  <si>
    <t>- Price Add-on (FCL-Sea)</t>
  </si>
  <si>
    <t>- Price Add-on (LCL-Sea)</t>
  </si>
  <si>
    <t xml:space="preserve">- Air Freight </t>
  </si>
  <si>
    <t>- Price Add-on (Air )</t>
  </si>
  <si>
    <t>- Sea Freight ( FCL)</t>
  </si>
  <si>
    <t>SEA FREIGHT PURCHASE- LCL</t>
  </si>
  <si>
    <t>SEA FREIGHT PURCHASE- FCL</t>
  </si>
  <si>
    <t>Rate ( $) Per CBM</t>
  </si>
  <si>
    <t>0-5</t>
  </si>
  <si>
    <t>5-10</t>
  </si>
  <si>
    <t>10-15</t>
  </si>
  <si>
    <t>15+</t>
  </si>
  <si>
    <t>Multiple POD can be selected</t>
  </si>
  <si>
    <t>buy price</t>
  </si>
  <si>
    <t>profit</t>
  </si>
  <si>
    <t>Update price</t>
  </si>
  <si>
    <t>Download</t>
  </si>
  <si>
    <t>buy pirce</t>
  </si>
  <si>
    <t>SEA FREIGHT ADD ON- FCL</t>
  </si>
  <si>
    <t>SEA FREIGHT ADD ON- LCL</t>
  </si>
  <si>
    <t>AIR FREIGHT ADD-ON</t>
  </si>
  <si>
    <t>Buy price</t>
  </si>
  <si>
    <t>SEA FREIGHT PRICE LIST- LCL</t>
  </si>
  <si>
    <t>SEARCH</t>
  </si>
  <si>
    <t>AIR FREIGHT PRICE LIST</t>
  </si>
  <si>
    <t>Source</t>
  </si>
  <si>
    <t>Customer</t>
  </si>
  <si>
    <t>Commodity :</t>
  </si>
  <si>
    <t>HS Code</t>
  </si>
  <si>
    <t>Place of Receipt :</t>
  </si>
  <si>
    <t>TOS</t>
  </si>
  <si>
    <t>LCL</t>
  </si>
  <si>
    <t>Air</t>
  </si>
  <si>
    <t>Container Type :</t>
  </si>
  <si>
    <t>Target Price ($)</t>
  </si>
  <si>
    <t xml:space="preserve">Expected Shipment Date
</t>
  </si>
  <si>
    <t xml:space="preserve">Inquiry Valid Upto
</t>
  </si>
  <si>
    <t>Weight in Kg</t>
  </si>
  <si>
    <t>Remarks</t>
  </si>
  <si>
    <t>Salesman :</t>
  </si>
  <si>
    <t>Save</t>
  </si>
  <si>
    <t>NEW INQUIRY</t>
  </si>
  <si>
    <t xml:space="preserve">Customer </t>
  </si>
  <si>
    <t>( Inbound / Outbound )</t>
  </si>
  <si>
    <t>Salesman</t>
  </si>
  <si>
    <t>Status</t>
  </si>
  <si>
    <t>Inquiry No</t>
  </si>
  <si>
    <t>Date</t>
  </si>
  <si>
    <t>Shipment Type</t>
  </si>
  <si>
    <t>Commodity</t>
  </si>
  <si>
    <t>Required Container</t>
  </si>
  <si>
    <t>Valid to Date</t>
  </si>
  <si>
    <t>Action</t>
  </si>
  <si>
    <t>Menu</t>
  </si>
  <si>
    <t>Quotation Date</t>
  </si>
  <si>
    <t xml:space="preserve">Validity Date
</t>
  </si>
  <si>
    <t>Type of Movement :</t>
  </si>
  <si>
    <t>search</t>
  </si>
  <si>
    <t>- IGM submission</t>
  </si>
  <si>
    <t>- DO Issue</t>
  </si>
  <si>
    <t>- Copy Doc upload</t>
  </si>
  <si>
    <t>Name of Port</t>
  </si>
  <si>
    <t>Country</t>
  </si>
  <si>
    <t>Type</t>
  </si>
  <si>
    <t>Port Code</t>
  </si>
  <si>
    <t>SL NO</t>
  </si>
  <si>
    <t>Port code</t>
  </si>
  <si>
    <t>Edit | Inactive</t>
  </si>
  <si>
    <t>Name_of_port</t>
  </si>
  <si>
    <t>Port_code</t>
  </si>
  <si>
    <t>Country_of_port</t>
  </si>
  <si>
    <t>Type_of_port</t>
  </si>
  <si>
    <t>Cost Category</t>
  </si>
  <si>
    <t>Cost Head Name</t>
  </si>
  <si>
    <t>Unit</t>
  </si>
  <si>
    <t>Cost head Name</t>
  </si>
  <si>
    <t>Cost_ID_no</t>
  </si>
  <si>
    <t>Port_ID_no</t>
  </si>
  <si>
    <t>Cost_Catagory</t>
  </si>
  <si>
    <t>Cost_head_Name</t>
  </si>
  <si>
    <t>Currency</t>
  </si>
  <si>
    <t>Conversion</t>
  </si>
  <si>
    <t>SL No</t>
  </si>
  <si>
    <t xml:space="preserve">Action </t>
  </si>
  <si>
    <t>Currency_ID_no</t>
  </si>
  <si>
    <t>Vessel Name</t>
  </si>
  <si>
    <t>Sl No</t>
  </si>
  <si>
    <t>Vessel_ID_no</t>
  </si>
  <si>
    <t>Vessel_Name</t>
  </si>
  <si>
    <t>Table_Vessel</t>
  </si>
  <si>
    <t>Table_Currency</t>
  </si>
  <si>
    <t>Table_Cost_Head</t>
  </si>
  <si>
    <t>Table_Port_List</t>
  </si>
  <si>
    <t>Carrier Name</t>
  </si>
  <si>
    <t>Table_Carrier</t>
  </si>
  <si>
    <t>Local Office Address</t>
  </si>
  <si>
    <t>Carrier Type</t>
  </si>
  <si>
    <t>Carrier_ID_no</t>
  </si>
  <si>
    <t>Carrier_Name</t>
  </si>
  <si>
    <t>Carrier_Type</t>
  </si>
  <si>
    <t>Carrier_office_address</t>
  </si>
  <si>
    <t xml:space="preserve"> -Employee</t>
  </si>
  <si>
    <t>Vendor Name</t>
  </si>
  <si>
    <t>Address</t>
  </si>
  <si>
    <t>Name</t>
  </si>
  <si>
    <t>Designation</t>
  </si>
  <si>
    <t>Email ID</t>
  </si>
  <si>
    <t>Mobile No</t>
  </si>
  <si>
    <t>Tel number</t>
  </si>
  <si>
    <t>Sr No</t>
  </si>
  <si>
    <t>Back to list</t>
  </si>
  <si>
    <t>Port Name</t>
  </si>
  <si>
    <t>carrier_PIC_ID</t>
  </si>
  <si>
    <t>carrier_PIC_Name</t>
  </si>
  <si>
    <t>carrier_PIC_Designation</t>
  </si>
  <si>
    <t>carrier_PIC_Tel_no</t>
  </si>
  <si>
    <t>carrier_PIC_Mobile_No</t>
  </si>
  <si>
    <t>carrier_PIC_Email_ID</t>
  </si>
  <si>
    <t>carrier_PIC_Country</t>
  </si>
  <si>
    <t>Low pricewise position</t>
  </si>
  <si>
    <t>Servicewise Position</t>
  </si>
  <si>
    <t xml:space="preserve">Edit | Inactive </t>
  </si>
  <si>
    <t>Table_Carrier_PIC</t>
  </si>
  <si>
    <t>Table_Carrier_Service_Port</t>
  </si>
  <si>
    <t>Carrier_Service_port_ID_No</t>
  </si>
  <si>
    <t>Carrier_Service_port_country</t>
  </si>
  <si>
    <t>Carrier_Service_port_Name</t>
  </si>
  <si>
    <t>Carrier_Service_port_lowprice_position</t>
  </si>
  <si>
    <t>Carrier_Service_port_servicewise_position</t>
  </si>
  <si>
    <t>Vender Service Description</t>
  </si>
  <si>
    <t>Bank Address</t>
  </si>
  <si>
    <t>TIN No</t>
  </si>
  <si>
    <t>VAT No</t>
  </si>
  <si>
    <t>Mobile</t>
  </si>
  <si>
    <t>Email</t>
  </si>
  <si>
    <t>Air-Master coloader</t>
  </si>
  <si>
    <t>Table_Vendor</t>
  </si>
  <si>
    <t>Vendor_ID</t>
  </si>
  <si>
    <t>Vendor_Name</t>
  </si>
  <si>
    <t>Vendor_Address</t>
  </si>
  <si>
    <t>Vendor_Country</t>
  </si>
  <si>
    <t>Bank Details</t>
  </si>
  <si>
    <t>Vendor_Service_Description</t>
  </si>
  <si>
    <t>Vendor_Bank</t>
  </si>
  <si>
    <t>Vendor_BIN</t>
  </si>
  <si>
    <t>Vendor_TIN</t>
  </si>
  <si>
    <t>Department</t>
  </si>
  <si>
    <t>Vendor_PIC_Name</t>
  </si>
  <si>
    <t>Vendor_PIC_Department</t>
  </si>
  <si>
    <t>Vendor_PIC_Designation</t>
  </si>
  <si>
    <t>Vendor_PIC_Mobile</t>
  </si>
  <si>
    <t>Vendor_PIC_Email</t>
  </si>
  <si>
    <t>PIC Name</t>
  </si>
  <si>
    <t>Vendor_PIC_ID</t>
  </si>
  <si>
    <t>- Commodity Category</t>
  </si>
  <si>
    <t>Name of Item</t>
  </si>
  <si>
    <t>Edit | Inactive |</t>
  </si>
  <si>
    <t>back to list</t>
  </si>
  <si>
    <t>Table_Commodity_Class</t>
  </si>
  <si>
    <t>Item_ID</t>
  </si>
  <si>
    <t>Item_Name</t>
  </si>
  <si>
    <t>Item_HS_Code</t>
  </si>
  <si>
    <t>- Customer</t>
  </si>
  <si>
    <t>Customer Name</t>
  </si>
  <si>
    <t>Customer Type</t>
  </si>
  <si>
    <t>Importer , Exporter, Trader</t>
  </si>
  <si>
    <t>Commodity Category</t>
  </si>
  <si>
    <t>Ex-Sea Volume (TEUs)/Month</t>
  </si>
  <si>
    <t>IM-Air Volume ( KG ) / Month</t>
  </si>
  <si>
    <t>Table_Customer</t>
  </si>
  <si>
    <t>Customer_ID</t>
  </si>
  <si>
    <t>Customer_Name</t>
  </si>
  <si>
    <t>Customer_Address</t>
  </si>
  <si>
    <t>Customer_Type</t>
  </si>
  <si>
    <t>Customer_Commodity_Category</t>
  </si>
  <si>
    <t>Customer_Export_Sea_Volume</t>
  </si>
  <si>
    <t>Customer_Export_Air_Volume</t>
  </si>
  <si>
    <t>EX-Air Volume ( KG ) / Month</t>
  </si>
  <si>
    <t>IM-Sea Volume (TEUs)/Month</t>
  </si>
  <si>
    <t>Customer_Import_Sea_Volume</t>
  </si>
  <si>
    <t>Customer_Import_Air_Volume</t>
  </si>
  <si>
    <t>Customer_PIC_ID</t>
  </si>
  <si>
    <t>Customer_PIC_Name</t>
  </si>
  <si>
    <t>Customer_PIC_Department</t>
  </si>
  <si>
    <t>Customer_PIC_Designation</t>
  </si>
  <si>
    <t xml:space="preserve">Customer_PIC_Mobile </t>
  </si>
  <si>
    <t>Customer_PIC_Email</t>
  </si>
  <si>
    <t>Edit | Inactive | Active</t>
  </si>
  <si>
    <t>Table_Customer_PIC</t>
  </si>
  <si>
    <t>Back to List</t>
  </si>
  <si>
    <t xml:space="preserve"> - User</t>
  </si>
  <si>
    <t>- Agent</t>
  </si>
  <si>
    <t>Agent Name</t>
  </si>
  <si>
    <t>General , Exclusive</t>
  </si>
  <si>
    <t>Agent Type</t>
  </si>
  <si>
    <t>Expert Area</t>
  </si>
  <si>
    <t>Business Area</t>
  </si>
  <si>
    <t>Inbound , Outbound, Both</t>
  </si>
  <si>
    <t>Customer_Country</t>
  </si>
  <si>
    <t>Customer_Business_area</t>
  </si>
  <si>
    <t>Sea -FCL , Sea-LCL, Air-General, Air-DG, Sea-DG , Project, SCM</t>
  </si>
  <si>
    <t>Strong Port Coverage ( can be multiple)</t>
  </si>
  <si>
    <t>Network Member ( Can be multiple)</t>
  </si>
  <si>
    <t>WCA , Jctrans , GLA, OLO,</t>
  </si>
  <si>
    <t>Agent_ID</t>
  </si>
  <si>
    <t>Agent_Name</t>
  </si>
  <si>
    <t>Agent_Country</t>
  </si>
  <si>
    <t>Agent_Address</t>
  </si>
  <si>
    <t>Agent_Type</t>
  </si>
  <si>
    <t>Agent_Expert_Area</t>
  </si>
  <si>
    <t>Agent_strong_port_list</t>
  </si>
  <si>
    <t>Agent_Network_Member_List</t>
  </si>
  <si>
    <t>Table_Agent</t>
  </si>
  <si>
    <t>Agent_PIC_ID</t>
  </si>
  <si>
    <t>Agent_PIC_Name</t>
  </si>
  <si>
    <t>Table_Agent_PIC</t>
  </si>
  <si>
    <t>Agent_PIC_Department</t>
  </si>
  <si>
    <t>Agent_PIC_Designation</t>
  </si>
  <si>
    <t xml:space="preserve">Agent_PIC_Mobile </t>
  </si>
  <si>
    <t>Agent_PIC_Email</t>
  </si>
  <si>
    <t>Employee Name</t>
  </si>
  <si>
    <t>Present Address</t>
  </si>
  <si>
    <t>Qualification</t>
  </si>
  <si>
    <t>Joining Date</t>
  </si>
  <si>
    <t>personal Email ID</t>
  </si>
  <si>
    <t>Table_Employee</t>
  </si>
  <si>
    <t>Employee_ID</t>
  </si>
  <si>
    <t>Employee_Name</t>
  </si>
  <si>
    <t>Employee_Country</t>
  </si>
  <si>
    <t>Employee_Department</t>
  </si>
  <si>
    <t>Employee_Designation</t>
  </si>
  <si>
    <t>Employee_joining_date</t>
  </si>
  <si>
    <t>Employee_personal_Email</t>
  </si>
  <si>
    <t>Parmanet Address</t>
  </si>
  <si>
    <t>Father's Name</t>
  </si>
  <si>
    <t>Mother's Name</t>
  </si>
  <si>
    <t>Sibling Name</t>
  </si>
  <si>
    <t>Date of Birth</t>
  </si>
  <si>
    <t>Reference-1</t>
  </si>
  <si>
    <t>Reference-2</t>
  </si>
  <si>
    <t>Employee_Present_Address</t>
  </si>
  <si>
    <t>Employee_Parmanet_Address</t>
  </si>
  <si>
    <t>Employee_Qualification</t>
  </si>
  <si>
    <t>Employee_Father's_Name</t>
  </si>
  <si>
    <t>Employee_Mother_Name</t>
  </si>
  <si>
    <t>Employee_Sibling_Name</t>
  </si>
  <si>
    <t>Sibling Mobile</t>
  </si>
  <si>
    <t>Employee_Sibling_Mobile</t>
  </si>
  <si>
    <t>Employee_Date_Birth</t>
  </si>
  <si>
    <t>Employee_Reference-1</t>
  </si>
  <si>
    <t>Employee_Reference-2</t>
  </si>
  <si>
    <t>Employee_Basic_salary</t>
  </si>
  <si>
    <t>Basic Salary</t>
  </si>
  <si>
    <t>Home Rent</t>
  </si>
  <si>
    <t xml:space="preserve">Medical </t>
  </si>
  <si>
    <t>Mobile Bill</t>
  </si>
  <si>
    <t>Office Mobile No</t>
  </si>
  <si>
    <t>Employee_Office_Mobile</t>
  </si>
  <si>
    <t>Insurance</t>
  </si>
  <si>
    <t>Incentive</t>
  </si>
  <si>
    <t>Total Gross Salary</t>
  </si>
  <si>
    <t>Employee_Home</t>
  </si>
  <si>
    <t>Employee_Medical</t>
  </si>
  <si>
    <t>Employee_Mobile_Bill</t>
  </si>
  <si>
    <t>Employee_Insurance</t>
  </si>
  <si>
    <t>Employee_Incentive</t>
  </si>
  <si>
    <t>Seaport , Airport</t>
  </si>
  <si>
    <t>PL-001</t>
  </si>
  <si>
    <t>Edit | Inactive/active</t>
  </si>
  <si>
    <t>Service , Administrative</t>
  </si>
  <si>
    <t>Container , HBL, HAWB, MBL,MAWB, CBM, Trip,Contract,M.Ton, KG</t>
  </si>
  <si>
    <t>USD</t>
  </si>
  <si>
    <t>Edit | Active/Inactive</t>
  </si>
  <si>
    <t>Maersk Line</t>
  </si>
  <si>
    <t>MLO, NVOCC, Airline , SOC</t>
  </si>
  <si>
    <t>carrier_PIC_Department</t>
  </si>
  <si>
    <t xml:space="preserve">ADD PIC </t>
  </si>
  <si>
    <t>Service Port</t>
  </si>
  <si>
    <t>Add PIC |</t>
  </si>
  <si>
    <t>Garments</t>
  </si>
  <si>
    <t>Industry Sector</t>
  </si>
  <si>
    <t>Industry Sector Name</t>
  </si>
  <si>
    <t>Inustry_Sector_Catagory_ID</t>
  </si>
  <si>
    <t>Inustry_Sector_Catagory_Name</t>
  </si>
  <si>
    <t>ADD Item</t>
  </si>
  <si>
    <t>Table_Industry_Sector_Item_List</t>
  </si>
  <si>
    <t>Industry Sector Category</t>
  </si>
  <si>
    <t xml:space="preserve"> ADD PIC |</t>
  </si>
  <si>
    <t xml:space="preserve"> ADD PIC | </t>
  </si>
  <si>
    <t>Agreement</t>
  </si>
  <si>
    <t xml:space="preserve">CV| </t>
  </si>
  <si>
    <t>Salary |</t>
  </si>
  <si>
    <t>Service Contract</t>
  </si>
  <si>
    <t>auto sum</t>
  </si>
  <si>
    <t>Mr Nasir</t>
  </si>
  <si>
    <t>Port Pair</t>
  </si>
  <si>
    <t>Service Agreement</t>
  </si>
  <si>
    <t>Employee_Personal_Mobile</t>
  </si>
  <si>
    <t>Employee_Service_Agreement</t>
  </si>
  <si>
    <t>001</t>
  </si>
  <si>
    <t>002</t>
  </si>
  <si>
    <t>003</t>
  </si>
  <si>
    <t>XYZ</t>
  </si>
  <si>
    <t>ABC</t>
  </si>
  <si>
    <t>EFG</t>
  </si>
  <si>
    <t>Sea</t>
  </si>
  <si>
    <t>Chittagong</t>
  </si>
  <si>
    <t>Humburg</t>
  </si>
  <si>
    <t>Dhaka</t>
  </si>
  <si>
    <t>London</t>
  </si>
  <si>
    <t>Remark</t>
  </si>
  <si>
    <t>Carrier_Service_port_POL</t>
  </si>
  <si>
    <t>Carrier_Service_port_POD</t>
  </si>
  <si>
    <t>Table_Carrier_Service_Port_pairing</t>
  </si>
  <si>
    <t>New York</t>
  </si>
  <si>
    <t>Mongla</t>
  </si>
  <si>
    <t>CMA</t>
  </si>
  <si>
    <t>MSC</t>
  </si>
  <si>
    <t>Purchase from</t>
  </si>
  <si>
    <t>Carrier , Agent and Vendor</t>
  </si>
  <si>
    <t>EXW, FCA, FAS, FOB, CFR, CIF, CPT, CIP, DPU, DAP , DDP</t>
  </si>
  <si>
    <t>Required container</t>
  </si>
  <si>
    <t>Air(kG)</t>
  </si>
  <si>
    <t>LCL(CBM)</t>
  </si>
  <si>
    <t>- Live Inquiry</t>
  </si>
  <si>
    <t>LIVE INQUIRY</t>
  </si>
  <si>
    <t>200 Kg</t>
  </si>
  <si>
    <t>20STD(1) + (40HC(1)</t>
  </si>
  <si>
    <t>40HC(2)</t>
  </si>
  <si>
    <t>Quotation</t>
  </si>
  <si>
    <t>View</t>
  </si>
  <si>
    <t>-</t>
  </si>
  <si>
    <t>POL/AOL</t>
  </si>
  <si>
    <t>POD/AOD</t>
  </si>
  <si>
    <t>Sea ., Air</t>
  </si>
  <si>
    <t>Inquiry_ID</t>
  </si>
  <si>
    <t>Inquiry_Source</t>
  </si>
  <si>
    <t>Shipment_Type</t>
  </si>
  <si>
    <t>Type of Movement</t>
  </si>
  <si>
    <t>Place_of_receipt</t>
  </si>
  <si>
    <t>Required_container_20STD</t>
  </si>
  <si>
    <t>Required_container_40STD</t>
  </si>
  <si>
    <t>Required_container_40HC</t>
  </si>
  <si>
    <t>Required_container_45FT</t>
  </si>
  <si>
    <t>Required_container_LCL</t>
  </si>
  <si>
    <t>Required_container_Air</t>
  </si>
  <si>
    <t>Expected_shipment_date</t>
  </si>
  <si>
    <t>Iquiry_validity</t>
  </si>
  <si>
    <t>Required_container_20STD_Type</t>
  </si>
  <si>
    <t>Required_container_40STD_Type</t>
  </si>
  <si>
    <t>Required_container_40HC_Type</t>
  </si>
  <si>
    <t>Required_container_45FT_Type</t>
  </si>
  <si>
    <t>Required_container_LCL_Type</t>
  </si>
  <si>
    <t>Required_container_20STD_weight</t>
  </si>
  <si>
    <t>Required_container_40STD_Weight</t>
  </si>
  <si>
    <t>Required_container_40HC_Weight</t>
  </si>
  <si>
    <t>Required_container_45FT_Weight</t>
  </si>
  <si>
    <t>Required_container_LCL_Weight</t>
  </si>
  <si>
    <t>Required_container_Air_Weight</t>
  </si>
  <si>
    <t>Required_container_20STD_TP</t>
  </si>
  <si>
    <t>Required_container_40STD_Weight_TP</t>
  </si>
  <si>
    <t>Required_container_40HC_Weight_TP</t>
  </si>
  <si>
    <t>Required_container_45FT_Weight_TP</t>
  </si>
  <si>
    <t>Required_container_LCL_Weight_TP</t>
  </si>
  <si>
    <t>Required_container_Air_Weight_TP</t>
  </si>
  <si>
    <t>Table_Inquiry</t>
  </si>
  <si>
    <t>Table_Inquiry_Details</t>
  </si>
  <si>
    <t xml:space="preserve">Agent </t>
  </si>
  <si>
    <t>Edit</t>
  </si>
  <si>
    <t>Price</t>
  </si>
  <si>
    <t>Follow up</t>
  </si>
  <si>
    <t>Quote</t>
  </si>
  <si>
    <t>Carrier Postion</t>
  </si>
  <si>
    <t xml:space="preserve">View </t>
  </si>
  <si>
    <t>Mode</t>
  </si>
  <si>
    <t>If mode FCL then show below . Multiple Carrier rate will visible .</t>
  </si>
  <si>
    <t>Goods Type</t>
  </si>
  <si>
    <t>Textile , Non-Textile, DG</t>
  </si>
  <si>
    <t>Goods_Type</t>
  </si>
  <si>
    <t>Maersk</t>
  </si>
  <si>
    <t>Textile</t>
  </si>
  <si>
    <t>There will be a modal to show details</t>
  </si>
  <si>
    <t>Container</t>
  </si>
  <si>
    <t xml:space="preserve">Type of Movement </t>
  </si>
  <si>
    <t>POL :</t>
  </si>
  <si>
    <t>POD :</t>
  </si>
  <si>
    <t>Place of Receipt</t>
  </si>
  <si>
    <t>Loading Type</t>
  </si>
  <si>
    <t>Cost Head</t>
  </si>
  <si>
    <t>Ocean Freight</t>
  </si>
  <si>
    <t>BL</t>
  </si>
  <si>
    <t>Qty</t>
  </si>
  <si>
    <t xml:space="preserve">Carrier : </t>
  </si>
  <si>
    <t>Note</t>
  </si>
  <si>
    <t>Seal Charge</t>
  </si>
  <si>
    <t>Selling Price</t>
  </si>
  <si>
    <t>Container Size</t>
  </si>
  <si>
    <t>HBL Charge</t>
  </si>
  <si>
    <t>ENS Charge</t>
  </si>
  <si>
    <t>Booking Rate</t>
  </si>
  <si>
    <t>No size</t>
  </si>
  <si>
    <t>Total Amount ($)</t>
  </si>
  <si>
    <t>Local Currency</t>
  </si>
  <si>
    <t>Bill Amount(Local Currency)</t>
  </si>
  <si>
    <t>mandatory field</t>
  </si>
  <si>
    <t>If user want to add additonal cost head then he can select the cost head and add.</t>
  </si>
  <si>
    <t>If there is no selling price in price table then user can manually write the selling price in selling price text field.</t>
  </si>
  <si>
    <t>Monitoring Charge</t>
  </si>
  <si>
    <t>Additional Charge</t>
  </si>
  <si>
    <t>An email automatically send to this particular agent PIC ( selected) to notify them that an inquiry is available in the software for quotation</t>
  </si>
  <si>
    <t>Share to Agent /carrier :</t>
  </si>
  <si>
    <t>if Type of shipment is "Outbound" and there is no valid rate in the price rate then an email to " Price Team" to notify to obtain price from carrier.</t>
  </si>
  <si>
    <t>All available cost head and price will pull out from price table combine match of POL, POD, Goods Type, Carrier.</t>
  </si>
  <si>
    <t>Opening Balance</t>
  </si>
  <si>
    <t>Opening Balance and Currency will be use during make the accounts ledger</t>
  </si>
  <si>
    <t>Unit Price</t>
  </si>
  <si>
    <t xml:space="preserve">Total Amount </t>
  </si>
  <si>
    <t>Different Form</t>
  </si>
  <si>
    <t>Submit</t>
  </si>
  <si>
    <t>T/T</t>
  </si>
  <si>
    <t>Free Day</t>
  </si>
  <si>
    <t>ETD</t>
  </si>
  <si>
    <t>ETA</t>
  </si>
  <si>
    <t>Via</t>
  </si>
  <si>
    <t>POD Free Day</t>
  </si>
  <si>
    <t>Check</t>
  </si>
  <si>
    <t>Request for Quotation ( RFQ )</t>
  </si>
  <si>
    <t xml:space="preserve">Status </t>
  </si>
  <si>
    <t>If we won the business then another field will visible as below</t>
  </si>
  <si>
    <t>Agent :</t>
  </si>
  <si>
    <t>We will select the agent who price is cheaper. This agent will see they won the business</t>
  </si>
  <si>
    <t>All other agent who quoted will see " Business " Lost " , your price was not competitive"</t>
  </si>
  <si>
    <t>all the comments will appear here</t>
  </si>
  <si>
    <t xml:space="preserve">Finally when we won or lost then appear </t>
  </si>
  <si>
    <t>Won / " Business LOST , your price was not competitive "</t>
  </si>
  <si>
    <t>Agent Owe(Cr)</t>
  </si>
  <si>
    <t>to their dashboard for price quote. If price available in price table than no need to send the email.</t>
  </si>
  <si>
    <t>We Owe(Dr)</t>
  </si>
  <si>
    <t>Maersk , CMA, MSC</t>
  </si>
  <si>
    <t xml:space="preserve">If Type of shipment is "Inbound" then  country spcific agent will show. We will select the agent and the particular inquiry will visible </t>
  </si>
  <si>
    <t>Dry, Flat Rack,  Open Top , Reefer</t>
  </si>
  <si>
    <t>Quotation List</t>
  </si>
  <si>
    <t>Quotation No</t>
  </si>
  <si>
    <t>Qutation Date</t>
  </si>
  <si>
    <t>Booking</t>
  </si>
  <si>
    <t>Insert Email ID</t>
  </si>
  <si>
    <t xml:space="preserve">Save &amp; Send </t>
  </si>
  <si>
    <t xml:space="preserve">Valid Till </t>
  </si>
  <si>
    <t>To,</t>
  </si>
  <si>
    <t>In word ( USD )</t>
  </si>
  <si>
    <t>Conversion Rate</t>
  </si>
  <si>
    <t>QUOTATION</t>
  </si>
  <si>
    <t>TRIPLE S LOGISTICS</t>
  </si>
  <si>
    <t>** This is a quotation only. The final freight invoice will be made after shipment.</t>
  </si>
  <si>
    <t>** This quotation excluded all kind of VAT &amp; TAX. If you want to deducted TDS and 1% will be added on total invoice value.</t>
  </si>
  <si>
    <t>** Payment before BL release by Pay order, Cash or Online Transfer.</t>
  </si>
  <si>
    <t xml:space="preserve">For and on behalf of </t>
  </si>
  <si>
    <t>Triple S Logistics</t>
  </si>
  <si>
    <t>Sea / Air</t>
  </si>
  <si>
    <t>Back to Quotation</t>
  </si>
  <si>
    <t>Above email id automatically come from customer table and also additional email id can be added.</t>
  </si>
  <si>
    <t>Inquiry List</t>
  </si>
  <si>
    <t>Exporter :</t>
  </si>
  <si>
    <t>Importer</t>
  </si>
  <si>
    <t>Multiple commodity can be selected</t>
  </si>
  <si>
    <t>ETD :</t>
  </si>
  <si>
    <t>Goods hand over date :</t>
  </si>
  <si>
    <t>Departure (ETD):</t>
  </si>
  <si>
    <t>Arrival(ETA) :</t>
  </si>
  <si>
    <t>Departure ( ETD )</t>
  </si>
  <si>
    <t>Departure ( ETD ) :</t>
  </si>
  <si>
    <t>Arrival (ETA )</t>
  </si>
  <si>
    <t>First Vessel :</t>
  </si>
  <si>
    <t xml:space="preserve">Transit Type </t>
  </si>
  <si>
    <t>Direct / Indirect</t>
  </si>
  <si>
    <t>First Vessel</t>
  </si>
  <si>
    <t>Arrival ( ETA )</t>
  </si>
  <si>
    <t>Transit Type</t>
  </si>
  <si>
    <t>PO</t>
  </si>
  <si>
    <t>Item</t>
  </si>
  <si>
    <t>SKU</t>
  </si>
  <si>
    <t>CTN Qty</t>
  </si>
  <si>
    <t>PCS Qty</t>
  </si>
  <si>
    <t>Total N.WT</t>
  </si>
  <si>
    <t>Total G..WT</t>
  </si>
  <si>
    <t>Carton Size</t>
  </si>
  <si>
    <t>L</t>
  </si>
  <si>
    <t>W</t>
  </si>
  <si>
    <t>H</t>
  </si>
  <si>
    <t>Total CBM</t>
  </si>
  <si>
    <t>DC</t>
  </si>
  <si>
    <t xml:space="preserve">Edit | Delete </t>
  </si>
  <si>
    <t>PO's Total N.WT</t>
  </si>
  <si>
    <t>PO's Total G.WT</t>
  </si>
  <si>
    <t>PO's Total CBM</t>
  </si>
  <si>
    <t>Grand Total =</t>
  </si>
  <si>
    <t>back to quotation list</t>
  </si>
  <si>
    <t>- Shipment Booking List</t>
  </si>
  <si>
    <t>Booking List</t>
  </si>
  <si>
    <t>Booking NO</t>
  </si>
  <si>
    <t>Goods H/DT</t>
  </si>
  <si>
    <t>Shipment Booking List'!A1</t>
  </si>
  <si>
    <t>Vsl Booking</t>
  </si>
  <si>
    <t>( If direct then only one vsl sailing schedule )</t>
  </si>
  <si>
    <t>( If Indirect then two or three vsl sailing schedule</t>
  </si>
  <si>
    <t>Voyage</t>
  </si>
  <si>
    <t>Add</t>
  </si>
  <si>
    <t xml:space="preserve">Cut off </t>
  </si>
  <si>
    <t>VGM Date</t>
  </si>
  <si>
    <t>SI Date</t>
  </si>
  <si>
    <t>Leg</t>
  </si>
  <si>
    <t>Direct</t>
  </si>
  <si>
    <t>InDirect</t>
  </si>
  <si>
    <t>back to booking list</t>
  </si>
  <si>
    <t>Booking No</t>
  </si>
  <si>
    <t>Approved</t>
  </si>
  <si>
    <t>Reject</t>
  </si>
  <si>
    <t>( Shipment booking + List + Approval will be in one page with link</t>
  </si>
  <si>
    <t>Loading_Type</t>
  </si>
  <si>
    <t>Table_Inquiry_Follow_Up</t>
  </si>
  <si>
    <t>Follow _UP_comments</t>
  </si>
  <si>
    <t>Inquiry_Follow_Up_status</t>
  </si>
  <si>
    <t>Table_Quotation</t>
  </si>
  <si>
    <t>Inquiry_no</t>
  </si>
  <si>
    <t>Quotation_No</t>
  </si>
  <si>
    <t>Quotation_Date</t>
  </si>
  <si>
    <t>Quotation_Validity_Date</t>
  </si>
  <si>
    <t>First_vessel</t>
  </si>
  <si>
    <t>Departure_ETD</t>
  </si>
  <si>
    <t>Arrival_ETA</t>
  </si>
  <si>
    <t>Table_Quotation_Details</t>
  </si>
  <si>
    <t>Cost_Head</t>
  </si>
  <si>
    <t>Container_size</t>
  </si>
  <si>
    <t>Selling_Price</t>
  </si>
  <si>
    <t>Total_Amount($)</t>
  </si>
  <si>
    <t>Booking_rate</t>
  </si>
  <si>
    <t>Bill_Amount_Local_Currency</t>
  </si>
  <si>
    <t>Transit_Type</t>
  </si>
  <si>
    <t>Local_Currency</t>
  </si>
  <si>
    <t>Vessel Proposed</t>
  </si>
  <si>
    <t>Approved for shipment</t>
  </si>
  <si>
    <t>- Container Load Plan (CLP)</t>
  </si>
  <si>
    <t xml:space="preserve">Quotation &gt; Shipment Booking &gt; Shpment Approval &gt; Shipping Order Issue &gt; Cargo Receipt &gt; CLP &gt; Stuffing &gt; Shipment Advise &gt; EGM &gt; SI Submission &gt; BL Issue &gt; Debit Note </t>
  </si>
  <si>
    <t>Booking Received</t>
  </si>
  <si>
    <t xml:space="preserve">Condition : When customer submitted booking then show &gt; </t>
  </si>
  <si>
    <t>Condition : When C/S team make Vessel Booking then show &gt;</t>
  </si>
  <si>
    <t>Condition : When Customer approved the proposed vsl then show &gt;</t>
  </si>
  <si>
    <t>Action : Vsl Booking</t>
  </si>
  <si>
    <t>Awaiting shipment Approval</t>
  </si>
  <si>
    <t>Issue S/O</t>
  </si>
  <si>
    <t>Drop down list</t>
  </si>
  <si>
    <t>Rejection comments :</t>
  </si>
  <si>
    <t>Multiple can be approved</t>
  </si>
  <si>
    <t>Single PO can be approved</t>
  </si>
  <si>
    <t xml:space="preserve">Shipping Order NO </t>
  </si>
  <si>
    <t>cut off :</t>
  </si>
  <si>
    <t>ETA:</t>
  </si>
  <si>
    <t>House-85, Unit-C4, Road-4, Block-B, Banani, Dhaka-1213</t>
  </si>
  <si>
    <t>SHIPPING ORDER</t>
  </si>
  <si>
    <t>QR CODE</t>
  </si>
  <si>
    <t>Warehouse/CFS:</t>
  </si>
  <si>
    <t>ISSUE SHIPPING ORDER</t>
  </si>
  <si>
    <t>Cargo Receipt</t>
  </si>
  <si>
    <t>S/O NO</t>
  </si>
  <si>
    <t>Click to view the S/O</t>
  </si>
  <si>
    <t>Cut off</t>
  </si>
  <si>
    <t>View S/O</t>
  </si>
  <si>
    <t>Accept</t>
  </si>
  <si>
    <t>Exporter</t>
  </si>
  <si>
    <t>Editable</t>
  </si>
  <si>
    <t>One PO multiple Item</t>
  </si>
  <si>
    <t>One Item multiple SKU</t>
  </si>
  <si>
    <t>Row Total N.WT</t>
  </si>
  <si>
    <t>Row Total G.WT</t>
  </si>
  <si>
    <t>RowTotal CBM</t>
  </si>
  <si>
    <t>Accept / Declined</t>
  </si>
  <si>
    <t>Declined</t>
  </si>
  <si>
    <t>Receive Date</t>
  </si>
  <si>
    <t>Unload Location</t>
  </si>
  <si>
    <t>EFR No</t>
  </si>
  <si>
    <t>Qty / figure can be different than S/O or booking qty</t>
  </si>
  <si>
    <t>If less then treat as part delivery until delivery balance qty. If exporter wants to short shipment then balance qty will show and later will close the booking.</t>
  </si>
  <si>
    <t>( Direct / Indirect)</t>
  </si>
  <si>
    <t>Shipment status</t>
  </si>
  <si>
    <t>Financial Statement</t>
  </si>
  <si>
    <t>RFQ(Live Inquiry)</t>
  </si>
  <si>
    <t>Nomination</t>
  </si>
  <si>
    <t>SEA SHIPMENT BOOKING</t>
  </si>
  <si>
    <t xml:space="preserve">One Quotation =multiple exporter , means multiple booking </t>
  </si>
  <si>
    <t>One Quotation = one exporter, means one booking</t>
  </si>
  <si>
    <t>One PO multiple Item.</t>
  </si>
  <si>
    <t>One Item multiple SKU.</t>
  </si>
  <si>
    <t xml:space="preserve">Sea </t>
  </si>
  <si>
    <t>AIR SHIPMENT BOOKING</t>
  </si>
  <si>
    <t>Air Lines :</t>
  </si>
  <si>
    <t>AOL :</t>
  </si>
  <si>
    <t>AOD :</t>
  </si>
  <si>
    <t>Airport of Loading (AOL) :</t>
  </si>
  <si>
    <t>Airport of Delivery (AOD) :</t>
  </si>
  <si>
    <t>- Shipment Booking-Air</t>
  </si>
  <si>
    <t>- Shipment Booking - Sea</t>
  </si>
  <si>
    <t>Flight Booking</t>
  </si>
  <si>
    <t>Airlines Name</t>
  </si>
  <si>
    <t>Flight No</t>
  </si>
  <si>
    <t>Flight Time</t>
  </si>
  <si>
    <t>Departure</t>
  </si>
  <si>
    <t>Arrival</t>
  </si>
  <si>
    <t>PO's Total Chargeable.WT</t>
  </si>
  <si>
    <t>Total Chargeable WT</t>
  </si>
  <si>
    <t>If Transit type indirect then below form will appeare</t>
  </si>
  <si>
    <t>If Transit type direct then below form will appeare</t>
  </si>
  <si>
    <t>CZ</t>
  </si>
  <si>
    <t>CZ002</t>
  </si>
  <si>
    <t>9.20 am</t>
  </si>
  <si>
    <t>DAC</t>
  </si>
  <si>
    <t>DBX</t>
  </si>
  <si>
    <t>CZ985</t>
  </si>
  <si>
    <t>6.50 pm</t>
  </si>
  <si>
    <t>DXB</t>
  </si>
  <si>
    <t>IST</t>
  </si>
  <si>
    <t>CZ698</t>
  </si>
  <si>
    <t>5.50 pm</t>
  </si>
  <si>
    <t>VIE</t>
  </si>
  <si>
    <t>A pop up will open and show multiple tab. Each tab will show different details such as below</t>
  </si>
  <si>
    <t>Overview</t>
  </si>
  <si>
    <t>Vessel Schedule</t>
  </si>
  <si>
    <t>Approval</t>
  </si>
  <si>
    <t>Shipping order</t>
  </si>
  <si>
    <t>Stuffing</t>
  </si>
  <si>
    <t>shipment advise</t>
  </si>
  <si>
    <t>Documents</t>
  </si>
  <si>
    <t>Tracking</t>
  </si>
  <si>
    <t>Finance</t>
  </si>
  <si>
    <t>Activities</t>
  </si>
  <si>
    <t>Shipment Booking Approval- SEA</t>
  </si>
  <si>
    <t>Shipment Booking Approval- Air</t>
  </si>
  <si>
    <t xml:space="preserve">Airlines : </t>
  </si>
  <si>
    <t>If Transit type Indirect then below form will show</t>
  </si>
  <si>
    <t>- Shipment Approval-sea</t>
  </si>
  <si>
    <t>- Shipment Approval-Air</t>
  </si>
  <si>
    <t>- Shipping Order-Sea</t>
  </si>
  <si>
    <t>- Shipping Order-Air</t>
  </si>
  <si>
    <t>SHIPPING ORDER-Air</t>
  </si>
  <si>
    <t>Airlines :</t>
  </si>
  <si>
    <t>PO's Total Chargeable WT</t>
  </si>
  <si>
    <t xml:space="preserve">Note : </t>
  </si>
  <si>
    <t>no need issue S/O for inbound shipment. There will be button to SKIP S/O</t>
  </si>
  <si>
    <t>Inquiry</t>
  </si>
  <si>
    <t>Cargo Load Plan- SEA</t>
  </si>
  <si>
    <t>Make CLP</t>
  </si>
  <si>
    <t>add</t>
  </si>
  <si>
    <t>Count PO</t>
  </si>
  <si>
    <t>Count Item</t>
  </si>
  <si>
    <t>Count Sku</t>
  </si>
  <si>
    <t>Sum CTN</t>
  </si>
  <si>
    <t>Sum PCS</t>
  </si>
  <si>
    <t>Sum N.WT</t>
  </si>
  <si>
    <t>Sum G.WT</t>
  </si>
  <si>
    <t>Sum CBM</t>
  </si>
  <si>
    <t>Select Container</t>
  </si>
  <si>
    <t>Assign</t>
  </si>
  <si>
    <t>( A virtual conainer image show when select container size )</t>
  </si>
  <si>
    <t xml:space="preserve"> Fill container with color when assigned the PO</t>
  </si>
  <si>
    <t>A CLP number will show</t>
  </si>
  <si>
    <t>Performance Report of below points</t>
  </si>
  <si>
    <t>Report Period :</t>
  </si>
  <si>
    <t>Current Month / date Range</t>
  </si>
  <si>
    <t>Total Revenue Generation</t>
  </si>
  <si>
    <t xml:space="preserve">note : </t>
  </si>
  <si>
    <t>Each report will show the details list</t>
  </si>
  <si>
    <t>Total Revenue will calculate the sum of each booking debit note value</t>
  </si>
  <si>
    <t>Total Gross profit Generation will calculate the sum of invoice margin ( selling - Buying )</t>
  </si>
  <si>
    <t>No. of Customer Handle ( 34)</t>
  </si>
  <si>
    <t>No. of Air Shipment Handle(6)</t>
  </si>
  <si>
    <t>No. of Inquiry Handle ( 40)</t>
  </si>
  <si>
    <t>No. of Sea Shipment Handle (9)</t>
  </si>
  <si>
    <t>No. of Commodity Category Handle ( 5)</t>
  </si>
  <si>
    <t>No. of Sales Lead Generation (4)</t>
  </si>
  <si>
    <t>Total Gross Profit Generation</t>
  </si>
  <si>
    <t xml:space="preserve">Incentive accumulation </t>
  </si>
  <si>
    <t xml:space="preserve">Incentive accumulation of a percentage of Gross Profit. This incentive percentage pull from Employee table. </t>
  </si>
  <si>
    <t>Nasir</t>
  </si>
  <si>
    <t>CONSOL BOX</t>
  </si>
  <si>
    <t>( FCL , LCL , CONSOL BOX )</t>
  </si>
  <si>
    <t>PO-001</t>
  </si>
  <si>
    <t>PO-002</t>
  </si>
  <si>
    <t>PO-003</t>
  </si>
  <si>
    <t>PO-004</t>
  </si>
  <si>
    <t>T-shirt</t>
  </si>
  <si>
    <t>Pant</t>
  </si>
  <si>
    <t>Sweater</t>
  </si>
  <si>
    <t>Jacket</t>
  </si>
  <si>
    <t>CBM</t>
  </si>
  <si>
    <t>Size</t>
  </si>
  <si>
    <t>Max Volume</t>
  </si>
  <si>
    <t>Max Weight</t>
  </si>
  <si>
    <t>add | Split</t>
  </si>
  <si>
    <t>15 cbm</t>
  </si>
  <si>
    <t>5 cbm</t>
  </si>
  <si>
    <t>available qty</t>
  </si>
  <si>
    <t>use qty</t>
  </si>
  <si>
    <t>CLP No : 1</t>
  </si>
  <si>
    <t>CLP No : 2</t>
  </si>
  <si>
    <t>8 CBM</t>
  </si>
  <si>
    <t>2 CBM</t>
  </si>
  <si>
    <t>50 cbm</t>
  </si>
  <si>
    <t>SIZE : 20STD</t>
  </si>
  <si>
    <t>Volume Load : 28 CBM</t>
  </si>
  <si>
    <t>SIZE : 40HC</t>
  </si>
  <si>
    <t>Volume Load : 52 CBM</t>
  </si>
  <si>
    <t>BOO-01</t>
  </si>
  <si>
    <t>so-1</t>
  </si>
  <si>
    <t>Shafidi</t>
  </si>
  <si>
    <t>Jute</t>
  </si>
  <si>
    <t>SITC</t>
  </si>
  <si>
    <t>DRAFT CLP</t>
  </si>
  <si>
    <t>- CLP List</t>
  </si>
  <si>
    <t xml:space="preserve">LIST OF CLP -SEA </t>
  </si>
  <si>
    <t>CLP NO</t>
  </si>
  <si>
    <t>FINAL</t>
  </si>
  <si>
    <t>STATUS</t>
  </si>
  <si>
    <t>DRAFT</t>
  </si>
  <si>
    <t>Container no</t>
  </si>
  <si>
    <t>Seal no</t>
  </si>
  <si>
    <t>SAVE CLP</t>
  </si>
  <si>
    <t>PRINT</t>
  </si>
  <si>
    <t>CARRIER :</t>
  </si>
  <si>
    <t>CLP NO :1</t>
  </si>
  <si>
    <t>CLP NO :2</t>
  </si>
  <si>
    <t>TOTAL</t>
  </si>
  <si>
    <t>3 PO</t>
  </si>
  <si>
    <t>CARRIER : SITC</t>
  </si>
  <si>
    <t>LOAD DATE &amp;TIME :</t>
  </si>
  <si>
    <t>LOAD BY :</t>
  </si>
  <si>
    <t>LOAD DATE &amp; TIME</t>
  </si>
  <si>
    <t>SUPERVISOR:</t>
  </si>
  <si>
    <t>TALLY MAN</t>
  </si>
  <si>
    <t>Exporter / importer</t>
  </si>
  <si>
    <t>CTNS</t>
  </si>
  <si>
    <t>NWT</t>
  </si>
  <si>
    <t>G.WT</t>
  </si>
  <si>
    <t>INQ-001</t>
  </si>
  <si>
    <t>QUO-001</t>
  </si>
  <si>
    <t>PO-1</t>
  </si>
  <si>
    <t>PO-2</t>
  </si>
  <si>
    <t>FCL- If customer and Exporter/Importer are Different and 1 HBL</t>
  </si>
  <si>
    <t>EFR-001</t>
  </si>
  <si>
    <t>KLM</t>
  </si>
  <si>
    <t>EFR-002</t>
  </si>
  <si>
    <t xml:space="preserve">FCL- If customer and Exporter/Importer are same and 1 EFR </t>
  </si>
  <si>
    <t>PO-3</t>
  </si>
  <si>
    <t>EFR-003</t>
  </si>
  <si>
    <t>CONSOLE BOX- If customer and Exporter/Importer are same , small qty not enough to make one FCL ( Full container ) and 1 EFR</t>
  </si>
  <si>
    <t xml:space="preserve">LCL- If customer and Exporter/Importer are same PLUS one or multiple different exporter/importer and Multiple EFR . In this case multiple exporter's PO will </t>
  </si>
  <si>
    <t>select by check box and make CLP .</t>
  </si>
  <si>
    <t>BNM</t>
  </si>
  <si>
    <t xml:space="preserve">Exporter </t>
  </si>
  <si>
    <t>BK-001</t>
  </si>
  <si>
    <t>Req. Cont.</t>
  </si>
  <si>
    <t>1x40HC</t>
  </si>
  <si>
    <t xml:space="preserve"> importer</t>
  </si>
  <si>
    <t>BK-002</t>
  </si>
  <si>
    <t>BK-003</t>
  </si>
  <si>
    <t>SHIPMENT ADVISE</t>
  </si>
  <si>
    <t>Stuffing date</t>
  </si>
  <si>
    <t xml:space="preserve">1st Leg Vessel </t>
  </si>
  <si>
    <t>Transit type</t>
  </si>
  <si>
    <t xml:space="preserve">Approved vessel schedule will show </t>
  </si>
  <si>
    <t>If required then change the approved vsl schedule</t>
  </si>
  <si>
    <t>PO details will pull from CLP</t>
  </si>
  <si>
    <t>Cargo Rvt dt</t>
  </si>
  <si>
    <t>Stuffing dt</t>
  </si>
  <si>
    <t>House BL No</t>
  </si>
  <si>
    <t>MBL No</t>
  </si>
  <si>
    <t>Auto generate</t>
  </si>
  <si>
    <t xml:space="preserve">Save </t>
  </si>
  <si>
    <t>Save &amp; Send</t>
  </si>
  <si>
    <t xml:space="preserve"> Download &amp; Print</t>
  </si>
  <si>
    <t>(Email id of customer . Auto fill of customer id and other will be additional )</t>
  </si>
  <si>
    <t xml:space="preserve">entry </t>
  </si>
  <si>
    <t>- Cargo Stock</t>
  </si>
  <si>
    <t>CARGO STOCK</t>
  </si>
  <si>
    <t>Quote No</t>
  </si>
  <si>
    <t>Location</t>
  </si>
  <si>
    <t>Q-001</t>
  </si>
  <si>
    <t>B-001</t>
  </si>
  <si>
    <t>ZXY</t>
  </si>
  <si>
    <t>Q-002</t>
  </si>
  <si>
    <t>B-002</t>
  </si>
  <si>
    <t>kmjn</t>
  </si>
  <si>
    <t>poi</t>
  </si>
  <si>
    <t>Machine</t>
  </si>
  <si>
    <t>qwe</t>
  </si>
  <si>
    <t>ytr</t>
  </si>
  <si>
    <t>Container Qty</t>
  </si>
  <si>
    <t>Make BL draft</t>
  </si>
  <si>
    <t>BL draft ( Only for Outbound shipment-Sea)</t>
  </si>
  <si>
    <t>- shipment Advise-Air</t>
  </si>
  <si>
    <t>- shipment Advise-Sea</t>
  </si>
  <si>
    <t>Airline</t>
  </si>
  <si>
    <t>Chargeable weight</t>
  </si>
  <si>
    <t>HAWB No</t>
  </si>
  <si>
    <t>MAWB No</t>
  </si>
  <si>
    <t>Bangladesh Biman</t>
  </si>
  <si>
    <t>1st Leg  Flight</t>
  </si>
  <si>
    <t>Departure dt &amp; time</t>
  </si>
  <si>
    <t>Arrival Date &amp; Time</t>
  </si>
  <si>
    <t>Gross Weight</t>
  </si>
  <si>
    <t>521 Kg</t>
  </si>
  <si>
    <t>BG</t>
  </si>
  <si>
    <t>SHIPMENT ADVISE-Air</t>
  </si>
  <si>
    <t>No need CLP for Air Shipment.</t>
  </si>
  <si>
    <t>Shipper</t>
  </si>
  <si>
    <t>Notify Party</t>
  </si>
  <si>
    <t>Also Notify Party</t>
  </si>
  <si>
    <t>Consignee</t>
  </si>
  <si>
    <t>Manifest No</t>
  </si>
  <si>
    <t>Bill of Lading Number</t>
  </si>
  <si>
    <t>Export References</t>
  </si>
  <si>
    <t>Point &amp; Country of Origin</t>
  </si>
  <si>
    <t>Forwarding Agent-References</t>
  </si>
  <si>
    <t>Pre-Carriage By(mode)*</t>
  </si>
  <si>
    <t>Place of Reciept*</t>
  </si>
  <si>
    <t>Ocean Vessel/Voyage</t>
  </si>
  <si>
    <t>Port of Loading</t>
  </si>
  <si>
    <t>Port of Discharge</t>
  </si>
  <si>
    <t>Place of Delivery</t>
  </si>
  <si>
    <t>For Delivery of Goods Please Apply to:</t>
  </si>
  <si>
    <t>- BL Draft-Sea</t>
  </si>
  <si>
    <t>Marks and Numbers Container and Seal Numbers</t>
  </si>
  <si>
    <t>Numbers and Description of Packages and Goods</t>
  </si>
  <si>
    <t>Measurement(cubic meters)</t>
  </si>
  <si>
    <t>Freight Payable at</t>
  </si>
  <si>
    <t>No. of Original BL</t>
  </si>
  <si>
    <t>Laden on Board Date</t>
  </si>
  <si>
    <t>Draft</t>
  </si>
  <si>
    <t>( email id of customer )</t>
  </si>
  <si>
    <t>Print</t>
  </si>
  <si>
    <t>Use Templet</t>
  </si>
  <si>
    <t>Make Templet</t>
  </si>
  <si>
    <t>Internal Customer Service team will use</t>
  </si>
  <si>
    <t>Save &amp; Submit</t>
  </si>
  <si>
    <t>Make Shipment Advise</t>
  </si>
  <si>
    <t>TSL+26+09+001</t>
  </si>
  <si>
    <t>Email Subject : Shipment Advise of Booking no :</t>
  </si>
  <si>
    <t>Shipper ( Exporter)</t>
  </si>
  <si>
    <t>Notify Party(Importer)</t>
  </si>
  <si>
    <t>Pull</t>
  </si>
  <si>
    <t xml:space="preserve">There will be an option to select the agent. </t>
  </si>
  <si>
    <t>container no / size</t>
  </si>
  <si>
    <t>seal</t>
  </si>
  <si>
    <t>text input</t>
  </si>
  <si>
    <t>Gross Weight ( KG)</t>
  </si>
  <si>
    <t>BL Draft List</t>
  </si>
  <si>
    <t xml:space="preserve">- Local Sales </t>
  </si>
  <si>
    <t>- Sales Lead-FOB</t>
  </si>
  <si>
    <t>Activitiy Log</t>
  </si>
  <si>
    <t>Date &amp; time</t>
  </si>
  <si>
    <t>PIC</t>
  </si>
  <si>
    <t>Meeting Summary</t>
  </si>
  <si>
    <t>Next Follow up Dt</t>
  </si>
  <si>
    <t>Business Posibility</t>
  </si>
  <si>
    <t>Compititors Analysis</t>
  </si>
  <si>
    <t>Rahim Afroz Power Ltd</t>
  </si>
  <si>
    <t>Record</t>
  </si>
  <si>
    <t>Vsl schedule</t>
  </si>
  <si>
    <t>CLP</t>
  </si>
  <si>
    <t>VGM update</t>
  </si>
  <si>
    <t>BL Draft &amp; Print</t>
  </si>
  <si>
    <t>Debit note/invoice</t>
  </si>
  <si>
    <t>On board confirmation</t>
  </si>
  <si>
    <t>Transhipment confirmation</t>
  </si>
  <si>
    <t>Arrival confirmation</t>
  </si>
  <si>
    <t>Steps</t>
  </si>
  <si>
    <t>Yes</t>
  </si>
  <si>
    <t>skip</t>
  </si>
  <si>
    <t>IGM update</t>
  </si>
  <si>
    <t>Skip</t>
  </si>
  <si>
    <t>DO issue</t>
  </si>
  <si>
    <t>for outbound -Arrnage to upload a file</t>
  </si>
  <si>
    <t>Inbound</t>
  </si>
  <si>
    <t>Outbound</t>
  </si>
  <si>
    <t>For inbound Arrnage to upload a file</t>
  </si>
  <si>
    <t>A carrier/agent advise will upload for record</t>
  </si>
  <si>
    <t>If indirect vessel</t>
  </si>
  <si>
    <t>Awaiting Debit Note</t>
  </si>
  <si>
    <t>Quoted Amount</t>
  </si>
  <si>
    <t>Make invoice</t>
  </si>
  <si>
    <t>Quote can see by click on the amount</t>
  </si>
  <si>
    <t>- Pull out full Qutation from quote table . If any charge /qty and othe item need add or remove then we can do it.</t>
  </si>
  <si>
    <t>- Total buying cost amount need to insert in a field.  A file upload of Agent / vendor / carrier debite invoice also upload for record.</t>
  </si>
  <si>
    <t>- Selection of agent/vendor / carrier must be there.</t>
  </si>
  <si>
    <t>- A receivable and Payable ledger will be created.</t>
  </si>
  <si>
    <t>- Receivable-Payable list</t>
  </si>
  <si>
    <t>-Chat of accounts</t>
  </si>
  <si>
    <t>- Transaction</t>
  </si>
  <si>
    <t xml:space="preserve">      '- Journal</t>
  </si>
  <si>
    <t xml:space="preserve">      '- Expense</t>
  </si>
  <si>
    <t xml:space="preserve">      '- Income</t>
  </si>
  <si>
    <t xml:space="preserve">       '-Internal Transfer</t>
  </si>
  <si>
    <t>Cost Details</t>
  </si>
  <si>
    <t>Cost head</t>
  </si>
  <si>
    <t>Container size</t>
  </si>
  <si>
    <t>unit</t>
  </si>
  <si>
    <t>QTY</t>
  </si>
  <si>
    <t>Buying price</t>
  </si>
  <si>
    <t>Total Amount</t>
  </si>
  <si>
    <t>Total Amount (BDT)</t>
  </si>
  <si>
    <t xml:space="preserve">Total Cost = </t>
  </si>
  <si>
    <t>Buying from Agent</t>
  </si>
  <si>
    <t>Buying from Carrier</t>
  </si>
  <si>
    <t>Buying from Vendor</t>
  </si>
  <si>
    <t>Upload Invoice</t>
  </si>
  <si>
    <t>Invoice no :</t>
  </si>
  <si>
    <t>Grand total cost =</t>
  </si>
  <si>
    <t>Total Sell price =</t>
  </si>
  <si>
    <t>Gross profit =</t>
  </si>
  <si>
    <t>GP % =</t>
  </si>
  <si>
    <t>= Total sell price - Grand Total cost</t>
  </si>
  <si>
    <t>Agent / Carrier /Vendor name</t>
  </si>
  <si>
    <t>Receiveable Amount(USD)</t>
  </si>
  <si>
    <t>Receiveable Amount(Base Cur)</t>
  </si>
  <si>
    <t>Payable Amount ( USD)</t>
  </si>
  <si>
    <t>Payable Amount ( Base Cur)</t>
  </si>
  <si>
    <t>CMA-CGM</t>
  </si>
  <si>
    <t>Trust Cargo</t>
  </si>
  <si>
    <t>Maersk line</t>
  </si>
  <si>
    <t>DK Internatinol</t>
  </si>
  <si>
    <t>Total =</t>
  </si>
  <si>
    <t>Payable Amount Details</t>
  </si>
  <si>
    <t>Receiveable Amount Details</t>
  </si>
  <si>
    <t>Ledger</t>
  </si>
  <si>
    <t>Descrption</t>
  </si>
  <si>
    <t>Amount ( USD_</t>
  </si>
  <si>
    <t>Amount ( Base cur)</t>
  </si>
  <si>
    <t>Chart of Accounts</t>
  </si>
  <si>
    <t>Expense</t>
  </si>
  <si>
    <t>Income</t>
  </si>
  <si>
    <t>Owners Equity</t>
  </si>
  <si>
    <t>Liabilities</t>
  </si>
  <si>
    <t>Asset</t>
  </si>
  <si>
    <t>++</t>
  </si>
  <si>
    <t>Cost of Service</t>
  </si>
  <si>
    <t>+ ADD new</t>
  </si>
  <si>
    <t>Discount</t>
  </si>
  <si>
    <t>Operating Expense</t>
  </si>
  <si>
    <t>Auditor fee</t>
  </si>
  <si>
    <t>Advertisement &amp; Promotion</t>
  </si>
  <si>
    <t>Bank Service Charge</t>
  </si>
  <si>
    <t>Computer Hardard</t>
  </si>
  <si>
    <t>Web Site Hosting</t>
  </si>
  <si>
    <t>Internet Bill</t>
  </si>
  <si>
    <t>Computer- Software</t>
  </si>
  <si>
    <t>TA-DA</t>
  </si>
  <si>
    <t>Sales Incetive</t>
  </si>
  <si>
    <t>Meal &amp; Entertainment</t>
  </si>
  <si>
    <t>Interest Expense</t>
  </si>
  <si>
    <t>Office Stationary</t>
  </si>
  <si>
    <t>Professional fee</t>
  </si>
  <si>
    <t>Office Rent</t>
  </si>
  <si>
    <t>Repair and Manatainence</t>
  </si>
  <si>
    <t>Telphone -Land line</t>
  </si>
  <si>
    <t>Travel Expense</t>
  </si>
  <si>
    <t>Untilities</t>
  </si>
  <si>
    <t>Vehical -Fuel</t>
  </si>
  <si>
    <t>Vehical -Repair &amp; Maintance</t>
  </si>
  <si>
    <t>Adjustment</t>
  </si>
  <si>
    <t>Cash short or less</t>
  </si>
  <si>
    <t>Media Buying</t>
  </si>
  <si>
    <t>Payroll Expense</t>
  </si>
  <si>
    <t>Payroll -Employee Benefits</t>
  </si>
  <si>
    <t>Payroll -Employee salary</t>
  </si>
  <si>
    <t>Uncatagories  Expense</t>
  </si>
  <si>
    <t>Uncategorized Expense</t>
  </si>
  <si>
    <t>Sea Freight-FCL</t>
  </si>
  <si>
    <t>Sea Freight-LCL</t>
  </si>
  <si>
    <t>Sea Freight-Door-Door</t>
  </si>
  <si>
    <t>Air-Freight</t>
  </si>
  <si>
    <t>Project Logistics</t>
  </si>
  <si>
    <t>Customs Clearence</t>
  </si>
  <si>
    <t>Warehousing</t>
  </si>
  <si>
    <t>Gain on Foreight Exchange</t>
  </si>
  <si>
    <t>Loss on Foreight Exchange</t>
  </si>
  <si>
    <t>Income on Service</t>
  </si>
  <si>
    <t>Other Income</t>
  </si>
  <si>
    <t>Fixed Deposit</t>
  </si>
  <si>
    <t>Un catagories Income</t>
  </si>
  <si>
    <t>Business Owner Contribution and Drawing</t>
  </si>
  <si>
    <t>Owner Investment</t>
  </si>
  <si>
    <t xml:space="preserve">
Opening Balance Equity</t>
  </si>
  <si>
    <t>Retained Earnings</t>
  </si>
  <si>
    <t xml:space="preserve">
Owner's Equity</t>
  </si>
  <si>
    <t>Customer Prepayments and Customer Credits</t>
  </si>
  <si>
    <t>Advanced Payments from customer</t>
  </si>
  <si>
    <t xml:space="preserve">Expected Payments to Vendors -Agent -Carrier </t>
  </si>
  <si>
    <t>Accounts Payable -Vendor</t>
  </si>
  <si>
    <t>Accounts Payable -Carrier</t>
  </si>
  <si>
    <t>Accounts Payable -Agent</t>
  </si>
  <si>
    <t>Due For Payroll</t>
  </si>
  <si>
    <t>Payroll Liabilities</t>
  </si>
  <si>
    <t>Loan and Line of Credit</t>
  </si>
  <si>
    <t>Other Long-Term Liability</t>
  </si>
  <si>
    <t>Other Short-Term Liability</t>
  </si>
  <si>
    <t>Sales Taxes</t>
  </si>
  <si>
    <t>Sales Tax Payable</t>
  </si>
  <si>
    <t>Bank</t>
  </si>
  <si>
    <t>Cash</t>
  </si>
  <si>
    <t>Cash on Hand</t>
  </si>
  <si>
    <t>Bank Asia Ltd-878</t>
  </si>
  <si>
    <t>Bank Asia Ltd-267</t>
  </si>
  <si>
    <t>Bank Asia Ltd-025</t>
  </si>
  <si>
    <t>Revenue Stamp</t>
  </si>
  <si>
    <t>Expected Payments from Customers</t>
  </si>
  <si>
    <t>Inventory</t>
  </si>
  <si>
    <t>Current Asset</t>
  </si>
  <si>
    <t>Sales Tax Receivable</t>
  </si>
  <si>
    <t>Other Long-Term Asset</t>
  </si>
  <si>
    <t xml:space="preserve">
Land Purchase</t>
  </si>
  <si>
    <t>Building Purchase</t>
  </si>
  <si>
    <t>Short term loan to other</t>
  </si>
  <si>
    <t>Journal</t>
  </si>
  <si>
    <t>date</t>
  </si>
  <si>
    <t>Description</t>
  </si>
  <si>
    <t>Upload file</t>
  </si>
  <si>
    <t>drag or upload</t>
  </si>
  <si>
    <t>Account</t>
  </si>
  <si>
    <t>Debit</t>
  </si>
  <si>
    <t>Credit</t>
  </si>
  <si>
    <t>Total Debit :</t>
  </si>
  <si>
    <t>Total Credit:</t>
  </si>
  <si>
    <t>Save &amp; agreed</t>
  </si>
  <si>
    <t>Pay to :</t>
  </si>
  <si>
    <t>Date :</t>
  </si>
  <si>
    <t>( Vendor / Carrier / Agent</t>
  </si>
  <si>
    <t>Select Invoice No :</t>
  </si>
  <si>
    <t xml:space="preserve"> ( View invoice )</t>
  </si>
  <si>
    <t>Description :</t>
  </si>
  <si>
    <t>Upload Payment voucher</t>
  </si>
  <si>
    <t>Payment from :</t>
  </si>
  <si>
    <t>Commision-Profit sharing from Agent</t>
  </si>
  <si>
    <t xml:space="preserve"> ( Asset like Bank , Cash  )</t>
  </si>
  <si>
    <t>Expense Category</t>
  </si>
  <si>
    <t>Select Expense Category</t>
  </si>
  <si>
    <t>Amount</t>
  </si>
  <si>
    <t xml:space="preserve"> add</t>
  </si>
  <si>
    <t>Debit Amount</t>
  </si>
  <si>
    <t>Credit Amount</t>
  </si>
  <si>
    <t>Difference</t>
  </si>
  <si>
    <t>Note:</t>
  </si>
  <si>
    <t>Pay to : ledger will update ( minus )</t>
  </si>
  <si>
    <t>Example</t>
  </si>
  <si>
    <r>
      <t xml:space="preserve">Suppose you pay an employee </t>
    </r>
    <r>
      <rPr>
        <b/>
        <sz val="11"/>
        <color theme="1"/>
        <rFont val="Calibri"/>
        <family val="2"/>
        <scheme val="minor"/>
      </rPr>
      <t>BDT 50,000</t>
    </r>
    <r>
      <rPr>
        <sz val="11"/>
        <color theme="1"/>
        <rFont val="Calibri"/>
        <family val="2"/>
        <scheme val="minor"/>
      </rPr>
      <t xml:space="preserve"> salary from your bank:</t>
    </r>
  </si>
  <si>
    <t>Journal Entry:</t>
  </si>
  <si>
    <t>Debit: Salary Expense — BDT 50,000</t>
  </si>
  <si>
    <t>Credit: Bank — BDT 50,000</t>
  </si>
  <si>
    <t>Why?</t>
  </si>
  <si>
    <r>
      <t xml:space="preserve">Salary is an </t>
    </r>
    <r>
      <rPr>
        <b/>
        <sz val="11"/>
        <color theme="1"/>
        <rFont val="Calibri"/>
        <family val="2"/>
        <scheme val="minor"/>
      </rPr>
      <t>expense</t>
    </r>
    <r>
      <rPr>
        <sz val="11"/>
        <color theme="1"/>
        <rFont val="Calibri"/>
        <family val="2"/>
        <scheme val="minor"/>
      </rPr>
      <t xml:space="preserve">, so the expense increases → </t>
    </r>
    <r>
      <rPr>
        <b/>
        <sz val="11"/>
        <color theme="1"/>
        <rFont val="Calibri"/>
        <family val="2"/>
        <scheme val="minor"/>
      </rPr>
      <t>Debit</t>
    </r>
    <r>
      <rPr>
        <sz val="11"/>
        <color theme="1"/>
        <rFont val="Calibri"/>
        <family val="2"/>
        <scheme val="minor"/>
      </rPr>
      <t>.</t>
    </r>
  </si>
  <si>
    <r>
      <t xml:space="preserve">Money leaves your bank, reducing your bank balance → </t>
    </r>
    <r>
      <rPr>
        <b/>
        <sz val="11"/>
        <color theme="1"/>
        <rFont val="Calibri"/>
        <family val="2"/>
        <scheme val="minor"/>
      </rPr>
      <t>Credit</t>
    </r>
    <r>
      <rPr>
        <sz val="11"/>
        <color theme="1"/>
        <rFont val="Calibri"/>
        <family val="2"/>
        <scheme val="minor"/>
      </rPr>
      <t>.</t>
    </r>
  </si>
  <si>
    <t>In your accounting software</t>
  </si>
  <si>
    <t>If the transaction screen asks:</t>
  </si>
  <si>
    <r>
      <t>Expense Account:</t>
    </r>
    <r>
      <rPr>
        <sz val="11"/>
        <color theme="1"/>
        <rFont val="Calibri"/>
        <family val="2"/>
        <scheme val="minor"/>
      </rPr>
      <t xml:space="preserve"> Salary → </t>
    </r>
    <r>
      <rPr>
        <b/>
        <sz val="11"/>
        <color theme="1"/>
        <rFont val="Calibri"/>
        <family val="2"/>
        <scheme val="minor"/>
      </rPr>
      <t>Debit BDT 50,000</t>
    </r>
  </si>
  <si>
    <r>
      <t>Payment Account:</t>
    </r>
    <r>
      <rPr>
        <sz val="11"/>
        <color theme="1"/>
        <rFont val="Calibri"/>
        <family val="2"/>
        <scheme val="minor"/>
      </rPr>
      <t xml:space="preserve"> Bank → </t>
    </r>
    <r>
      <rPr>
        <b/>
        <sz val="11"/>
        <color theme="1"/>
        <rFont val="Calibri"/>
        <family val="2"/>
        <scheme val="minor"/>
      </rPr>
      <t>Credit BDT 50,000</t>
    </r>
  </si>
  <si>
    <r>
      <t xml:space="preserve">You receive a vendor bill for </t>
    </r>
    <r>
      <rPr>
        <b/>
        <sz val="11"/>
        <color theme="1"/>
        <rFont val="Calibri"/>
        <family val="2"/>
        <scheme val="minor"/>
      </rPr>
      <t>BDT 100,000</t>
    </r>
    <r>
      <rPr>
        <sz val="11"/>
        <color theme="1"/>
        <rFont val="Calibri"/>
        <family val="2"/>
        <scheme val="minor"/>
      </rPr>
      <t xml:space="preserve"> for office/operating expenses and pay it from your bank.</t>
    </r>
  </si>
  <si>
    <t>Debit: Expense — BDT 100,000</t>
  </si>
  <si>
    <t>Credit: Bank — BDT 100,000</t>
  </si>
  <si>
    <r>
      <t xml:space="preserve">The </t>
    </r>
    <r>
      <rPr>
        <b/>
        <sz val="11"/>
        <color theme="1"/>
        <rFont val="Calibri"/>
        <family val="2"/>
        <scheme val="minor"/>
      </rPr>
      <t>vendor is the party/payee</t>
    </r>
    <r>
      <rPr>
        <sz val="11"/>
        <color theme="1"/>
        <rFont val="Calibri"/>
        <family val="2"/>
        <scheme val="minor"/>
      </rPr>
      <t>, but if you pay immediately, you normally don't need a vendor payable balance.</t>
    </r>
  </si>
  <si>
    <t>If the vendor bill is recorded first and paid later</t>
  </si>
  <si>
    <t>Step 1 — Record the vendor bill</t>
  </si>
  <si>
    <t>Debit: Expense → BDT 100,000</t>
  </si>
  <si>
    <r>
      <t xml:space="preserve">Credit: </t>
    </r>
    <r>
      <rPr>
        <b/>
        <sz val="11"/>
        <color theme="1"/>
        <rFont val="Calibri"/>
        <family val="2"/>
        <scheme val="minor"/>
      </rPr>
      <t>Vendor Payable</t>
    </r>
    <r>
      <rPr>
        <sz val="11"/>
        <color theme="1"/>
        <rFont val="Calibri"/>
        <family val="2"/>
        <scheme val="minor"/>
      </rPr>
      <t xml:space="preserve"> → BDT 100,000</t>
    </r>
  </si>
  <si>
    <t>Step 2 — Make payment</t>
  </si>
  <si>
    <r>
      <t xml:space="preserve">Debit: </t>
    </r>
    <r>
      <rPr>
        <b/>
        <sz val="11"/>
        <color theme="1"/>
        <rFont val="Calibri"/>
        <family val="2"/>
        <scheme val="minor"/>
      </rPr>
      <t>Vendor Payable</t>
    </r>
    <r>
      <rPr>
        <sz val="11"/>
        <color theme="1"/>
        <rFont val="Calibri"/>
        <family val="2"/>
        <scheme val="minor"/>
      </rPr>
      <t xml:space="preserve"> → BDT 100,000</t>
    </r>
  </si>
  <si>
    <r>
      <t xml:space="preserve">Credit: </t>
    </r>
    <r>
      <rPr>
        <b/>
        <sz val="11"/>
        <color theme="1"/>
        <rFont val="Calibri"/>
        <family val="2"/>
        <scheme val="minor"/>
      </rPr>
      <t>Bank</t>
    </r>
    <r>
      <rPr>
        <sz val="11"/>
        <color theme="1"/>
        <rFont val="Calibri"/>
        <family val="2"/>
        <scheme val="minor"/>
      </rPr>
      <t xml:space="preserve"> → BDT 100,000</t>
    </r>
  </si>
  <si>
    <t>Inv-CMA-001</t>
  </si>
  <si>
    <t>Freight 1x40HC</t>
  </si>
  <si>
    <t>Make Payment</t>
  </si>
  <si>
    <t>Payment Status</t>
  </si>
  <si>
    <t>Partial  Paid | Full Paid</t>
  </si>
  <si>
    <t>Drat</t>
  </si>
  <si>
    <t>Cancel invoice</t>
  </si>
  <si>
    <t>Email id of Customer</t>
  </si>
  <si>
    <t>- Credit Invoice</t>
  </si>
  <si>
    <t>Debit Invoice No</t>
  </si>
  <si>
    <t>Invoice Amount</t>
  </si>
  <si>
    <t>Receive</t>
  </si>
  <si>
    <t>Cancel</t>
  </si>
  <si>
    <t>Create New</t>
  </si>
  <si>
    <t xml:space="preserve"> ' + Add</t>
  </si>
  <si>
    <t>- Debit Invoice</t>
  </si>
  <si>
    <t>Income From :</t>
  </si>
  <si>
    <t>( Customer)</t>
  </si>
  <si>
    <t>Deposit to :</t>
  </si>
  <si>
    <t>Income Category</t>
  </si>
  <si>
    <t>Select Income Category</t>
  </si>
  <si>
    <t>Unbilled Amount</t>
  </si>
  <si>
    <t>Unbill Amount(USD)</t>
  </si>
  <si>
    <t>Unbill Amount(Base Cur)</t>
  </si>
  <si>
    <t>Asset = Liabbilities - Owner's Equity</t>
  </si>
  <si>
    <t>Expense Ledger - Predefined</t>
  </si>
  <si>
    <t>Sub Ledger</t>
  </si>
  <si>
    <t>; - Bank Set up</t>
  </si>
  <si>
    <t>Account Name</t>
  </si>
  <si>
    <t>Bank Name</t>
  </si>
  <si>
    <t>Branch</t>
  </si>
  <si>
    <t>Swift No</t>
  </si>
  <si>
    <t>Routing number</t>
  </si>
  <si>
    <t>IBAN No</t>
  </si>
  <si>
    <t>Select Bank</t>
  </si>
  <si>
    <t>Select Branch</t>
  </si>
  <si>
    <t>Account Nuber</t>
  </si>
  <si>
    <t>08633033878</t>
  </si>
  <si>
    <t>Bank Asia Plc</t>
  </si>
  <si>
    <t>Ring Road</t>
  </si>
  <si>
    <t>Ring Road, Mohammadpur , dhaka</t>
  </si>
  <si>
    <t>BAHDD9876</t>
  </si>
  <si>
    <t>07214563</t>
  </si>
  <si>
    <t>Salary for the month of Sep 2026</t>
  </si>
  <si>
    <t>Salary( Expense+</t>
  </si>
  <si>
    <t>Bank Minus</t>
  </si>
  <si>
    <t xml:space="preserve">     ( minus 100)</t>
  </si>
  <si>
    <t>( bank or cash account</t>
  </si>
  <si>
    <t>- Account Set up</t>
  </si>
  <si>
    <t>Income/Receive</t>
  </si>
  <si>
    <t>Credit Invoice</t>
  </si>
  <si>
    <t>Vendor/Agent/Carrier Inv No</t>
  </si>
  <si>
    <t>Transfer From :</t>
  </si>
  <si>
    <t>( All bank account )</t>
  </si>
  <si>
    <t>Transfer To</t>
  </si>
  <si>
    <t>Select account</t>
  </si>
  <si>
    <t>Notification</t>
  </si>
  <si>
    <t xml:space="preserve">Price Team </t>
  </si>
  <si>
    <t>Applicable for :</t>
  </si>
  <si>
    <t>(1)Price request email to carrier, Agent, Vendor</t>
  </si>
  <si>
    <t>(2) Quotation send to Customer</t>
  </si>
  <si>
    <t>tsl.pricing@triplesbd.com</t>
  </si>
  <si>
    <t>Sender Email ID</t>
  </si>
  <si>
    <t>Reply to</t>
  </si>
  <si>
    <t>Email Signature</t>
  </si>
  <si>
    <t>Kind Regards                             Tanjila Sathi                            Sr.Executive</t>
  </si>
  <si>
    <t xml:space="preserve">CS &amp; DocTeam </t>
  </si>
  <si>
    <t xml:space="preserve">(1) Booking Received </t>
  </si>
  <si>
    <t xml:space="preserve">( 2) Shipment Approval </t>
  </si>
  <si>
    <t xml:space="preserve">(3) Shipping order </t>
  </si>
  <si>
    <t>tsl.doc@triplesbd.com</t>
  </si>
  <si>
    <t xml:space="preserve">Ops Team </t>
  </si>
  <si>
    <t xml:space="preserve">(1) Cargo Receipt </t>
  </si>
  <si>
    <t xml:space="preserve">( 2) Stuffing </t>
  </si>
  <si>
    <t>Kind Regards                  Saifuddin Shamim           Customer Support team</t>
  </si>
  <si>
    <t>Kind Regards                             Jisan                           Jr.Executive</t>
  </si>
  <si>
    <t>tsl.ops@triplesbd.com</t>
  </si>
  <si>
    <t xml:space="preserve">Accounts Team </t>
  </si>
  <si>
    <t>(1)Payment Received</t>
  </si>
  <si>
    <t>(2) Debit Invoice Send</t>
  </si>
  <si>
    <t>(3) Payment Send</t>
  </si>
  <si>
    <t>accounts@triplesbd.com</t>
  </si>
  <si>
    <t>(4) Shipment Advice</t>
  </si>
  <si>
    <t>Booking Received Email</t>
  </si>
  <si>
    <t>Shipment approval email</t>
  </si>
  <si>
    <t>Shipping order email</t>
  </si>
  <si>
    <t>Shipment Advise</t>
  </si>
  <si>
    <t>Cargo receipt email</t>
  </si>
  <si>
    <t>Stuffing Email</t>
  </si>
  <si>
    <t>payment Received Email</t>
  </si>
  <si>
    <t>Debit Invoice Email</t>
  </si>
  <si>
    <t>Payment remit Email</t>
  </si>
  <si>
    <t>REPORTS</t>
  </si>
  <si>
    <t>│</t>
  </si>
  <si>
    <t>├── 01. Operations</t>
  </si>
  <si>
    <t>│   ├── Shipment Status</t>
  </si>
  <si>
    <t>│   ├── Pending Shipment</t>
  </si>
  <si>
    <t>│   ├── Delayed Shipment</t>
  </si>
  <si>
    <t>│   ├── ETD / ETA</t>
  </si>
  <si>
    <t>│   ├── Container Status</t>
  </si>
  <si>
    <t>│   ├── Documentation Pending</t>
  </si>
  <si>
    <t>│   ├── Customs Pending</t>
  </si>
  <si>
    <t>│   └── Delivery Pending</t>
  </si>
  <si>
    <t>├── 02. Profitability</t>
  </si>
  <si>
    <t>│   ├── Shipment P&amp;L</t>
  </si>
  <si>
    <t>│   ├── Customer Profitability</t>
  </si>
  <si>
    <t>│   ├── Trade Lane Profitability</t>
  </si>
  <si>
    <t>│   ├── Carrier Profitability</t>
  </si>
  <si>
    <t>│   ├── Agent Profitability</t>
  </si>
  <si>
    <t>│   ├── Salesperson Profitability</t>
  </si>
  <si>
    <t>│   ├── Service Profitability</t>
  </si>
  <si>
    <t>│   ├── Monthly Profitability</t>
  </si>
  <si>
    <t>│   ├── Loss-Making Jobs</t>
  </si>
  <si>
    <t>│   └── Uncosted / Unbilled Jobs</t>
  </si>
  <si>
    <t>├── 03. Sales &amp; CRM</t>
  </si>
  <si>
    <t>│   ├── Quotation Register</t>
  </si>
  <si>
    <t>│   ├── Quotation Conversion</t>
  </si>
  <si>
    <t>│   ├── Won / Lost Quotes</t>
  </si>
  <si>
    <t>│   ├── Customer Volume</t>
  </si>
  <si>
    <t>│   ├── Salesperson Performance</t>
  </si>
  <si>
    <t>│   ├── New Customers</t>
  </si>
  <si>
    <t>│   └── Inactive Customers</t>
  </si>
  <si>
    <t>├── 04. Accounts Receivable</t>
  </si>
  <si>
    <t>│   ├── Customer Outstanding</t>
  </si>
  <si>
    <t>│   ├── AR Aging</t>
  </si>
  <si>
    <t>│   ├── Overdue Invoice</t>
  </si>
  <si>
    <t>│   ├── Credit Limit</t>
  </si>
  <si>
    <t>│   ├── Due Today</t>
  </si>
  <si>
    <t>│   ├── Due This Week</t>
  </si>
  <si>
    <t>│   └── Customer SOA</t>
  </si>
  <si>
    <t>├── 05. Accounts Payable</t>
  </si>
  <si>
    <t>│   ├── Vendor Outstanding</t>
  </si>
  <si>
    <t>│   ├── AP Aging</t>
  </si>
  <si>
    <t>│   ├── Carrier Payable</t>
  </si>
  <si>
    <t>│   ├── Agent Payable</t>
  </si>
  <si>
    <t>│   ├── Due for Payment</t>
  </si>
  <si>
    <t>│   └── Vendor SOA</t>
  </si>
  <si>
    <t>├── 06. Carrier &amp; Agent</t>
  </si>
  <si>
    <t>│   ├── Carrier Performance</t>
  </si>
  <si>
    <t>│   ├── Carrier Volume</t>
  </si>
  <si>
    <t>│   ├── Carrier Rate Analysis</t>
  </si>
  <si>
    <t>│   ├── Agent Performance</t>
  </si>
  <si>
    <t>│   └── Agent Profitability</t>
  </si>
  <si>
    <t>├── 07. Finance &amp; Accounting</t>
  </si>
  <si>
    <t>│   ├── Cash Book</t>
  </si>
  <si>
    <t>│   ├── Bank Book</t>
  </si>
  <si>
    <t>│   ├── General Ledger</t>
  </si>
  <si>
    <t>│   ├── Trial Balance</t>
  </si>
  <si>
    <t>│   ├── P&amp;L</t>
  </si>
  <si>
    <t>│   ├── Balance Sheet</t>
  </si>
  <si>
    <t>│   ├── Cash Flow</t>
  </si>
  <si>
    <t>│   └── Bank Reconciliation</t>
  </si>
  <si>
    <t>└── 08. Management</t>
  </si>
  <si>
    <t xml:space="preserve">    ├── CEO Dashboard</t>
  </si>
  <si>
    <t xml:space="preserve">    ├── Daily Management Report</t>
  </si>
  <si>
    <t xml:space="preserve">    ├── Weekly Management Report</t>
  </si>
  <si>
    <t xml:space="preserve">    ├── Monthly Management Report</t>
  </si>
  <si>
    <t xml:space="preserve">    ├── Business Performance</t>
  </si>
  <si>
    <t xml:space="preserve">    ├── Cash Position</t>
  </si>
  <si>
    <t xml:space="preserve">    └── Exception Report</t>
  </si>
  <si>
    <t>│   ├── Inquiry Register</t>
  </si>
  <si>
    <t>│   ├── Booking Register</t>
  </si>
  <si>
    <t>Daily CEO Dashboard</t>
  </si>
  <si>
    <t>Show only the numbers requiring attention:</t>
  </si>
  <si>
    <t>Today's KPIs</t>
  </si>
  <si>
    <t>New shipments</t>
  </si>
  <si>
    <t>Shipments in transit</t>
  </si>
  <si>
    <t>Shipments arriving</t>
  </si>
  <si>
    <t>Containers departing</t>
  </si>
  <si>
    <t>Containers arriving</t>
  </si>
  <si>
    <t>Revenue booked</t>
  </si>
  <si>
    <t>Cost booked</t>
  </si>
  <si>
    <t>Gross profit</t>
  </si>
  <si>
    <t>Invoiced amount</t>
  </si>
  <si>
    <t>Collection today</t>
  </si>
  <si>
    <t>Customer outstanding</t>
  </si>
  <si>
    <t>Vendor payable</t>
  </si>
  <si>
    <t>Overdue AR</t>
  </si>
  <si>
    <t>Overdue AP</t>
  </si>
  <si>
    <t>Loss-making jobs</t>
  </si>
  <si>
    <t>Pending documentation</t>
  </si>
  <si>
    <t>Delayed shipments</t>
  </si>
  <si>
    <t>CEO profitability view</t>
  </si>
  <si>
    <t>This Month</t>
  </si>
  <si>
    <t>Revenue | Cost | Gross Profit | Margin %</t>
  </si>
  <si>
    <t>Then compare:</t>
  </si>
  <si>
    <t>This Month vs Last Month vs Same Month Last Year</t>
  </si>
  <si>
    <t>Sales reports</t>
  </si>
  <si>
    <t>Salesperson-wise quotation</t>
  </si>
  <si>
    <t>Quotation register</t>
  </si>
  <si>
    <t>Quotation conversion report</t>
  </si>
  <si>
    <t>Won quotation</t>
  </si>
  <si>
    <t>Lost quotation</t>
  </si>
  <si>
    <t>Pending quotation</t>
  </si>
  <si>
    <t>Quote-to-booking conversion %</t>
  </si>
  <si>
    <t>Customer acquisition report</t>
  </si>
  <si>
    <t>New customer report</t>
  </si>
  <si>
    <t>Inactive customer report</t>
  </si>
  <si>
    <t>Customer revenue</t>
  </si>
  <si>
    <t>Customer shipment volume</t>
  </si>
  <si>
    <t>Customer GP</t>
  </si>
  <si>
    <t>Salesperson revenue</t>
  </si>
  <si>
    <t>Salesperson GP</t>
  </si>
  <si>
    <t>Salesperson target vs achievement</t>
  </si>
  <si>
    <t>Particularly important:</t>
  </si>
  <si>
    <t>Quotation → Booking Conversion</t>
  </si>
  <si>
    <t>Example:</t>
  </si>
  <si>
    <t>100 quotations</t>
  </si>
  <si>
    <t>35 accepted</t>
  </si>
  <si>
    <t>Conversion = 35%</t>
  </si>
  <si>
    <t>And:</t>
  </si>
  <si>
    <t>Quoted Margin vs Actual Margin</t>
  </si>
  <si>
    <t>This will tell you whether your sales team is quoting profitably.</t>
  </si>
  <si>
    <t>Modern freight analytics platforms specifically track quote volume, conversion, response time and win margin.</t>
  </si>
  <si>
    <t>Today's KPI</t>
  </si>
  <si>
    <t>Quotation NO</t>
  </si>
  <si>
    <t>Seal</t>
  </si>
  <si>
    <t>1st Leg vsl</t>
  </si>
  <si>
    <t>Awaiting</t>
  </si>
  <si>
    <t>Departed</t>
  </si>
  <si>
    <t>- This date pull from shipment advise.</t>
  </si>
  <si>
    <t>- If vsl delay or advance sailed then change the date and select Departed.</t>
  </si>
  <si>
    <t>- An email will automatically send to customer email.</t>
  </si>
  <si>
    <r>
      <t xml:space="preserve">- sender email would be </t>
    </r>
    <r>
      <rPr>
        <sz val="11"/>
        <color rgb="FFFF0000"/>
        <rFont val="Calibri"/>
        <family val="2"/>
        <scheme val="minor"/>
      </rPr>
      <t>tsl.doc@triplesbd.com</t>
    </r>
  </si>
  <si>
    <t xml:space="preserve">-  A  reason of delay /advane sail will write to inform customer </t>
  </si>
  <si>
    <t>On board confirmation-Sea</t>
  </si>
  <si>
    <t>On board confirmation-Air</t>
  </si>
  <si>
    <t>1st Leg Flight No</t>
  </si>
  <si>
    <t>- This date will finally pull to HAWB as on board date.</t>
  </si>
  <si>
    <t>- This date will finally pull to BL  as on board date.</t>
  </si>
  <si>
    <t>- Depart-Arrive Confirmation</t>
  </si>
  <si>
    <t>Departure -Transshipment -Arrival confirmation</t>
  </si>
  <si>
    <t>Transshipment Confirmaiton -Sea</t>
  </si>
  <si>
    <t>Transshipment Confirmaiton -Air</t>
  </si>
  <si>
    <t>Arrival -Sea</t>
  </si>
  <si>
    <t>Arrival -Air</t>
  </si>
  <si>
    <t>2nd Leg vsl</t>
  </si>
  <si>
    <t>- There is no transhipment confirmation for direct vsl.</t>
  </si>
  <si>
    <t>Transshipment-Air</t>
  </si>
  <si>
    <t>Transshipment confirmation-Sea</t>
  </si>
  <si>
    <t>back to landing</t>
  </si>
  <si>
    <t>2nd Leg Flight No</t>
  </si>
  <si>
    <t>back to lit</t>
  </si>
  <si>
    <t>Last Leg vsl</t>
  </si>
  <si>
    <t>This is the final date of arrival which will update at least 3 days before arrival</t>
  </si>
  <si>
    <t>Last Leg flight</t>
  </si>
  <si>
    <t>Arrived</t>
  </si>
  <si>
    <t>This is the final date of arrival which will update at least 1 days before arrival</t>
  </si>
  <si>
    <t>Upload IGM file</t>
  </si>
  <si>
    <t>HBL NO</t>
  </si>
  <si>
    <t>(pdf.jpg )</t>
  </si>
  <si>
    <t>An email will automatically send to importer email</t>
  </si>
  <si>
    <t>Container number , Seal , Size and Last leg vessel name will be in the emal</t>
  </si>
  <si>
    <t>ISSUE DO</t>
  </si>
  <si>
    <t>TO</t>
  </si>
  <si>
    <t>DATE</t>
  </si>
  <si>
    <t>TERMINAL MANAGER</t>
  </si>
  <si>
    <t>CHITTAGONG PORT AUTHORITY</t>
  </si>
  <si>
    <t>CHITTAGONG</t>
  </si>
  <si>
    <t>SUBJECT :</t>
  </si>
  <si>
    <t>CONTAINER NO</t>
  </si>
  <si>
    <r>
      <t>Period:</t>
    </r>
    <r>
      <rPr>
        <sz val="11"/>
        <color theme="1"/>
        <rFont val="Calibri"/>
        <family val="2"/>
        <scheme val="minor"/>
      </rPr>
      <t xml:space="preserve"> [01-Oct-2026 to 31-Oct-2026]</t>
    </r>
  </si>
  <si>
    <r>
      <t>Branch:</t>
    </r>
    <r>
      <rPr>
        <sz val="11"/>
        <color theme="1"/>
        <rFont val="Calibri"/>
        <family val="2"/>
        <scheme val="minor"/>
      </rPr>
      <t xml:space="preserve"> [All / Dhaka / Chattogram]</t>
    </r>
  </si>
  <si>
    <r>
      <t>Currency:</t>
    </r>
    <r>
      <rPr>
        <sz val="11"/>
        <color theme="1"/>
        <rFont val="Calibri"/>
        <family val="2"/>
        <scheme val="minor"/>
      </rPr>
      <t xml:space="preserve"> BDT / USD</t>
    </r>
  </si>
  <si>
    <r>
      <t>Basis:</t>
    </r>
    <r>
      <rPr>
        <sz val="11"/>
        <color theme="1"/>
        <rFont val="Calibri"/>
        <family val="2"/>
        <scheme val="minor"/>
      </rPr>
      <t xml:space="preserve"> Accrual</t>
    </r>
  </si>
  <si>
    <t>Particulars</t>
  </si>
  <si>
    <t>Current Month</t>
  </si>
  <si>
    <t>YTD</t>
  </si>
  <si>
    <t>Previous Year YTD</t>
  </si>
  <si>
    <t>A. REVENUE</t>
  </si>
  <si>
    <t>Ocean Freight Revenue – FCL</t>
  </si>
  <si>
    <t>Ocean Freight Revenue – LCL</t>
  </si>
  <si>
    <t>Air Freight Revenue</t>
  </si>
  <si>
    <t>Customs Clearance Revenue</t>
  </si>
  <si>
    <t>Trucking / Transportation Revenue</t>
  </si>
  <si>
    <t>Warehousing Revenue</t>
  </si>
  <si>
    <t>Documentation / BL Charges</t>
  </si>
  <si>
    <t>Handling / CFS Charges</t>
  </si>
  <si>
    <t>Packing / Stuffing Revenue</t>
  </si>
  <si>
    <t>Door-to-Door Revenue</t>
  </si>
  <si>
    <t>Cross-Trade / Third Country Revenue</t>
  </si>
  <si>
    <t>Project Cargo Revenue</t>
  </si>
  <si>
    <t>Other Logistics Service Revenue</t>
  </si>
  <si>
    <t>Gross Revenue</t>
  </si>
  <si>
    <t>—</t>
  </si>
  <si>
    <t>Less: Discounts / Credit Notes</t>
  </si>
  <si>
    <t>NET REVENUE</t>
  </si>
  <si>
    <t>B. DIRECT COST OF SERVICES</t>
  </si>
  <si>
    <t>Ocean Freight Cost – FCL</t>
  </si>
  <si>
    <t>Ocean Freight Cost – LCL</t>
  </si>
  <si>
    <t>Air Freight Cost</t>
  </si>
  <si>
    <t>Shipping Line / Carrier Charges</t>
  </si>
  <si>
    <t>Port / Terminal Charges</t>
  </si>
  <si>
    <t>CFS Charges</t>
  </si>
  <si>
    <t>Customs / Clearing Cost</t>
  </si>
  <si>
    <t>Trucking / Transport Cost</t>
  </si>
  <si>
    <t>Warehouse Cost – Job Related</t>
  </si>
  <si>
    <t>Loading / Unloading Cost</t>
  </si>
  <si>
    <t>Documentation / BL Cost</t>
  </si>
  <si>
    <t>Agent / Overseas Partner Cost</t>
  </si>
  <si>
    <t>Handling Charges</t>
  </si>
  <si>
    <t>Other Job-Related Costs</t>
  </si>
  <si>
    <t>TOTAL DIRECT COST</t>
  </si>
  <si>
    <t>GROSS PROFIT</t>
  </si>
  <si>
    <t>Gross Profit %</t>
  </si>
  <si>
    <t>C. OPERATING EXPENSES</t>
  </si>
  <si>
    <t>Salaries &amp; Wages</t>
  </si>
  <si>
    <t>Employee Benefits</t>
  </si>
  <si>
    <t>Utilities</t>
  </si>
  <si>
    <t>Internet &amp; Telephone</t>
  </si>
  <si>
    <t>Software / ERP / IT Expenses</t>
  </si>
  <si>
    <t>Marketing &amp; Advertising</t>
  </si>
  <si>
    <t>Sales Commission</t>
  </si>
  <si>
    <t>Business Development Expenses</t>
  </si>
  <si>
    <t>Travel &amp; Entertainment</t>
  </si>
  <si>
    <t>Vehicle / Transportation Expenses</t>
  </si>
  <si>
    <t>Office Supplies &amp; Stationery</t>
  </si>
  <si>
    <t>Repairs &amp; Maintenance</t>
  </si>
  <si>
    <t>Professional / Consultancy Fees</t>
  </si>
  <si>
    <t>Legal &amp; Compliance Expenses</t>
  </si>
  <si>
    <t>Bank Charges</t>
  </si>
  <si>
    <t>Bad Debt / Provision for Doubtful Debt</t>
  </si>
  <si>
    <t>Depreciation</t>
  </si>
  <si>
    <t>Other Administrative Expenses</t>
  </si>
  <si>
    <t>TOTAL OPERATING EXPENSES</t>
  </si>
  <si>
    <t>OPERATING PROFIT</t>
  </si>
  <si>
    <t>D. NON-OPERATING INCOME</t>
  </si>
  <si>
    <t>Interest Income</t>
  </si>
  <si>
    <t>Foreign Exchange Gain</t>
  </si>
  <si>
    <t>TOTAL NON-OPERATING INCOME</t>
  </si>
  <si>
    <t>E. NON-OPERATING EXPENSES</t>
  </si>
  <si>
    <t>Interest / Finance Cost</t>
  </si>
  <si>
    <t>Foreign Exchange Loss</t>
  </si>
  <si>
    <t>Loss on Asset Disposal</t>
  </si>
  <si>
    <t>Other Non-Operating Expenses</t>
  </si>
  <si>
    <t>TOTAL NON-OPERATING EXPENSES</t>
  </si>
  <si>
    <t>PROFIT BEFORE TAX</t>
  </si>
  <si>
    <t>Income Tax Expense</t>
  </si>
  <si>
    <t>NET PROFIT AFTER TAX</t>
  </si>
  <si>
    <t>Net Profit Margin %</t>
  </si>
  <si>
    <t>Income statement</t>
  </si>
  <si>
    <t>Pre-Alert</t>
  </si>
  <si>
    <t>Send</t>
  </si>
  <si>
    <t>Awiting</t>
  </si>
  <si>
    <t xml:space="preserve">Select Documents </t>
  </si>
  <si>
    <t>Booking confirmation</t>
  </si>
  <si>
    <t>HBL</t>
  </si>
  <si>
    <t>MBL</t>
  </si>
  <si>
    <t>HAWB</t>
  </si>
  <si>
    <t>MAWB</t>
  </si>
  <si>
    <t>Manifest-Air</t>
  </si>
  <si>
    <t>Dbite Note</t>
  </si>
  <si>
    <t>Select Agent :</t>
  </si>
  <si>
    <t xml:space="preserve">An email  will send from tsl.sales1@triplesbd.com </t>
  </si>
  <si>
    <t xml:space="preserve">(5) BL draft </t>
  </si>
  <si>
    <t xml:space="preserve">SalesTeam </t>
  </si>
  <si>
    <t>(1) Pre-Alert</t>
  </si>
  <si>
    <t>tsl.sales1@triplesbd.com</t>
  </si>
  <si>
    <t>Kind Regards                            Saifuddin Shamim                           Sr.Executive</t>
  </si>
  <si>
    <t>Pre-Alert Email</t>
  </si>
  <si>
    <t>- Tarrif</t>
  </si>
  <si>
    <t>Dear Sir / Madam</t>
  </si>
  <si>
    <t>We are pleased to offer our best price as below :</t>
  </si>
  <si>
    <t>You are requested to quote your best price for below shipment.</t>
  </si>
  <si>
    <t xml:space="preserve">Price Request Email draft: </t>
  </si>
  <si>
    <t>Quotation Send Email draft</t>
  </si>
  <si>
    <r>
      <t xml:space="preserve">- sender email from </t>
    </r>
    <r>
      <rPr>
        <sz val="11"/>
        <color rgb="FFFF0000"/>
        <rFont val="Calibri"/>
        <family val="2"/>
        <scheme val="minor"/>
      </rPr>
      <t>tsl.doc@triplesbd.com</t>
    </r>
  </si>
  <si>
    <t>IGM Update ( Inbound shipment only)</t>
  </si>
  <si>
    <t>/Awaiting/ Updated</t>
  </si>
  <si>
    <t>DO ISSUE ( Inbound shipment only )</t>
  </si>
  <si>
    <t>Shipment Profitability</t>
  </si>
  <si>
    <t>Revenue</t>
  </si>
  <si>
    <t>Cost</t>
  </si>
  <si>
    <t>GP</t>
  </si>
  <si>
    <t>GP %</t>
  </si>
  <si>
    <t>JOB-001</t>
  </si>
  <si>
    <t>ABC Ltd</t>
  </si>
  <si>
    <t>FCL</t>
  </si>
  <si>
    <t>CTG-UK</t>
  </si>
  <si>
    <t>Completed</t>
  </si>
  <si>
    <t>JOB-002</t>
  </si>
  <si>
    <t>XYZ Ltd</t>
  </si>
  <si>
    <t>China-DAC</t>
  </si>
  <si>
    <t>JOB-003</t>
  </si>
  <si>
    <t>DEF Ltd</t>
  </si>
  <si>
    <t>DAC-LHR</t>
  </si>
  <si>
    <t>JOB-004</t>
  </si>
  <si>
    <t>GHI Ltd</t>
  </si>
  <si>
    <t>CTG-AUS</t>
  </si>
  <si>
    <t>Quotation no No.</t>
  </si>
  <si>
    <t>BL No</t>
  </si>
  <si>
    <t>Route(POL-POD)</t>
  </si>
  <si>
    <t>TARRIF</t>
  </si>
  <si>
    <t>Movement Type</t>
  </si>
  <si>
    <t>Tarrif Type</t>
  </si>
  <si>
    <t xml:space="preserve">Port Tarrif , CFS Charge </t>
  </si>
  <si>
    <t>BL Submission-Sea</t>
  </si>
  <si>
    <t>BL Submission-Air</t>
  </si>
  <si>
    <t>Shipment Booking-Sea</t>
  </si>
  <si>
    <t>Shipment Booking-Air</t>
  </si>
  <si>
    <t>Upload Doc</t>
  </si>
  <si>
    <t>House bill of lading</t>
  </si>
  <si>
    <t>Master Bill of lading</t>
  </si>
  <si>
    <t>BOO-02</t>
  </si>
  <si>
    <t>so-2</t>
  </si>
  <si>
    <t>JF trader</t>
  </si>
  <si>
    <t>Cosmetics</t>
  </si>
  <si>
    <t>G9</t>
  </si>
  <si>
    <t>CO</t>
  </si>
  <si>
    <t>Commercal Invoice</t>
  </si>
  <si>
    <t>Packing list</t>
  </si>
  <si>
    <t>GSP</t>
  </si>
  <si>
    <t>EXP</t>
  </si>
  <si>
    <t>browse and upload</t>
  </si>
  <si>
    <t>IGM</t>
  </si>
  <si>
    <t>Delivery Order</t>
  </si>
  <si>
    <t>Shipping Documens upload</t>
  </si>
  <si>
    <t>VGM</t>
  </si>
  <si>
    <t>Upload VGM</t>
  </si>
  <si>
    <t>Carrier Booking No</t>
  </si>
  <si>
    <t>cont-1</t>
  </si>
  <si>
    <t>cont-2</t>
  </si>
  <si>
    <t>Cont-3</t>
  </si>
  <si>
    <t>Inquiry no</t>
  </si>
  <si>
    <t>Type of movement</t>
  </si>
  <si>
    <t>Loading type</t>
  </si>
  <si>
    <t>From Date</t>
  </si>
  <si>
    <t>To date</t>
  </si>
  <si>
    <t>This month /Last month / three Month/ This year / Last year</t>
  </si>
  <si>
    <t>Total Inquiry</t>
  </si>
  <si>
    <t>Quotation Conversion</t>
  </si>
  <si>
    <t>Potential Revenue</t>
  </si>
  <si>
    <t>Potential Gross Profit</t>
  </si>
  <si>
    <t>No of Won</t>
  </si>
  <si>
    <t>No of Lost</t>
  </si>
  <si>
    <t>│   └── Customer wise trade lane</t>
  </si>
  <si>
    <t>│   ├── Trade lane wise inquiry</t>
  </si>
  <si>
    <t>VGM Status</t>
  </si>
  <si>
    <t>EGM Status</t>
  </si>
  <si>
    <t>Pending</t>
  </si>
  <si>
    <t>EGM</t>
  </si>
  <si>
    <t>BL Number</t>
  </si>
  <si>
    <t>MBL Number</t>
  </si>
  <si>
    <t>- Upload VGM &amp; EGM</t>
  </si>
  <si>
    <t>VGM &amp; EGM</t>
  </si>
  <si>
    <t>carrier</t>
  </si>
  <si>
    <t>Upload EGM copy</t>
  </si>
  <si>
    <t xml:space="preserve">VGM </t>
  </si>
  <si>
    <t>Multiple file can be uploaded</t>
  </si>
  <si>
    <t>Upload VGM file</t>
  </si>
  <si>
    <t>Single POL</t>
  </si>
  <si>
    <t>Muliple POD</t>
  </si>
  <si>
    <t>- Business Matrix</t>
  </si>
  <si>
    <t>Antrwap</t>
  </si>
  <si>
    <t>Rotterdam</t>
  </si>
  <si>
    <t>Le Harve</t>
  </si>
  <si>
    <t>Southampton</t>
  </si>
  <si>
    <t>Felixtowe</t>
  </si>
  <si>
    <t>Inquiry Received</t>
  </si>
  <si>
    <t>No of Quotation</t>
  </si>
  <si>
    <t>Total Revenue</t>
  </si>
  <si>
    <t>Shipment Volume ( TEUs)</t>
  </si>
  <si>
    <t>OUTBOUND SHIPMENT</t>
  </si>
  <si>
    <t>INBOUND SHIPMENT</t>
  </si>
  <si>
    <t>MULTIPLE POD</t>
  </si>
  <si>
    <t>SINGLE POL</t>
  </si>
  <si>
    <t xml:space="preserve">Trade Lane Name : EU Base port </t>
  </si>
  <si>
    <t xml:space="preserve">Trade lane name </t>
  </si>
  <si>
    <t xml:space="preserve">Trade Lane Name :USE W/C </t>
  </si>
  <si>
    <t>Los Angelas</t>
  </si>
  <si>
    <t>Savanan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</si>
</sst>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22"/>
      <color theme="3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000000"/>
      <name val="Segoe UI"/>
      <family val="2"/>
    </font>
    <font>
      <b/>
      <sz val="20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u/>
      <sz val="11"/>
      <color theme="3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96">
    <xf numFmtId="0" fontId="0" fillId="0" borderId="0" xfId="0"/>
    <xf numFmtId="0" fontId="0" fillId="0" borderId="1" xfId="0" applyBorder="1"/>
    <xf numFmtId="0" fontId="3" fillId="0" borderId="0" xfId="1"/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3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2" fillId="8" borderId="0" xfId="0" applyFont="1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0" fillId="0" borderId="0" xfId="0" applyFill="1" applyBorder="1"/>
    <xf numFmtId="0" fontId="0" fillId="0" borderId="3" xfId="0" applyFill="1" applyBorder="1"/>
    <xf numFmtId="16" fontId="0" fillId="7" borderId="2" xfId="0" quotePrefix="1" applyNumberFormat="1" applyFill="1" applyBorder="1"/>
    <xf numFmtId="17" fontId="0" fillId="7" borderId="2" xfId="0" quotePrefix="1" applyNumberFormat="1" applyFill="1" applyBorder="1"/>
    <xf numFmtId="0" fontId="0" fillId="7" borderId="2" xfId="0" quotePrefix="1" applyFill="1" applyBorder="1"/>
    <xf numFmtId="0" fontId="0" fillId="7" borderId="4" xfId="0" applyFill="1" applyBorder="1"/>
    <xf numFmtId="0" fontId="0" fillId="0" borderId="4" xfId="0" applyBorder="1"/>
    <xf numFmtId="0" fontId="0" fillId="0" borderId="0" xfId="0" applyBorder="1"/>
    <xf numFmtId="0" fontId="2" fillId="0" borderId="0" xfId="0" applyFont="1" applyFill="1" applyBorder="1" applyAlignment="1">
      <alignment horizontal="center"/>
    </xf>
    <xf numFmtId="0" fontId="2" fillId="8" borderId="2" xfId="0" applyFont="1" applyFill="1" applyBorder="1"/>
    <xf numFmtId="0" fontId="2" fillId="5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16" fontId="0" fillId="0" borderId="0" xfId="0" quotePrefix="1" applyNumberFormat="1" applyFill="1" applyBorder="1"/>
    <xf numFmtId="17" fontId="0" fillId="0" borderId="0" xfId="0" quotePrefix="1" applyNumberFormat="1" applyFill="1" applyBorder="1"/>
    <xf numFmtId="0" fontId="0" fillId="0" borderId="0" xfId="0" quotePrefix="1" applyFill="1" applyBorder="1"/>
    <xf numFmtId="0" fontId="4" fillId="0" borderId="2" xfId="0" applyFont="1" applyBorder="1"/>
    <xf numFmtId="0" fontId="2" fillId="8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0" borderId="7" xfId="0" applyBorder="1"/>
    <xf numFmtId="0" fontId="0" fillId="0" borderId="8" xfId="0" applyBorder="1"/>
    <xf numFmtId="0" fontId="0" fillId="2" borderId="4" xfId="0" applyFill="1" applyBorder="1"/>
    <xf numFmtId="0" fontId="0" fillId="2" borderId="7" xfId="0" applyFill="1" applyBorder="1"/>
    <xf numFmtId="0" fontId="0" fillId="0" borderId="0" xfId="0" applyFill="1" applyBorder="1" applyAlignment="1">
      <alignment horizontal="right"/>
    </xf>
    <xf numFmtId="0" fontId="0" fillId="0" borderId="5" xfId="0" applyBorder="1"/>
    <xf numFmtId="0" fontId="0" fillId="8" borderId="2" xfId="0" applyFill="1" applyBorder="1" applyAlignment="1">
      <alignment horizontal="center"/>
    </xf>
    <xf numFmtId="0" fontId="0" fillId="4" borderId="4" xfId="0" applyFill="1" applyBorder="1"/>
    <xf numFmtId="0" fontId="0" fillId="4" borderId="7" xfId="0" applyFill="1" applyBorder="1"/>
    <xf numFmtId="0" fontId="0" fillId="4" borderId="8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3" xfId="0" applyBorder="1"/>
    <xf numFmtId="0" fontId="0" fillId="0" borderId="0" xfId="0" applyBorder="1" applyAlignment="1">
      <alignment horizontal="right" vertical="center"/>
    </xf>
    <xf numFmtId="0" fontId="0" fillId="0" borderId="12" xfId="0" applyBorder="1"/>
    <xf numFmtId="0" fontId="0" fillId="0" borderId="0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5" borderId="2" xfId="0" applyFill="1" applyBorder="1" applyAlignment="1">
      <alignment horizontal="center"/>
    </xf>
    <xf numFmtId="0" fontId="0" fillId="9" borderId="1" xfId="0" applyFill="1" applyBorder="1"/>
    <xf numFmtId="0" fontId="0" fillId="9" borderId="0" xfId="0" applyFill="1"/>
    <xf numFmtId="0" fontId="3" fillId="9" borderId="0" xfId="1" quotePrefix="1" applyFill="1"/>
    <xf numFmtId="0" fontId="0" fillId="3" borderId="1" xfId="0" applyFill="1" applyBorder="1"/>
    <xf numFmtId="0" fontId="3" fillId="3" borderId="0" xfId="1" quotePrefix="1" applyFill="1"/>
    <xf numFmtId="0" fontId="0" fillId="3" borderId="0" xfId="0" quotePrefix="1" applyFill="1"/>
    <xf numFmtId="0" fontId="0" fillId="0" borderId="1" xfId="0" applyFill="1" applyBorder="1"/>
    <xf numFmtId="0" fontId="0" fillId="0" borderId="0" xfId="0" applyFill="1"/>
    <xf numFmtId="0" fontId="3" fillId="0" borderId="0" xfId="1" quotePrefix="1" applyFill="1"/>
    <xf numFmtId="0" fontId="0" fillId="0" borderId="0" xfId="0" quotePrefix="1" applyFill="1"/>
    <xf numFmtId="0" fontId="0" fillId="11" borderId="0" xfId="0" applyFill="1"/>
    <xf numFmtId="0" fontId="0" fillId="11" borderId="1" xfId="0" applyFill="1" applyBorder="1"/>
    <xf numFmtId="0" fontId="3" fillId="11" borderId="0" xfId="1" quotePrefix="1" applyFill="1"/>
    <xf numFmtId="0" fontId="0" fillId="11" borderId="0" xfId="0" quotePrefix="1" applyFill="1"/>
    <xf numFmtId="0" fontId="2" fillId="10" borderId="0" xfId="0" applyFont="1" applyFill="1"/>
    <xf numFmtId="0" fontId="0" fillId="4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0" fillId="0" borderId="15" xfId="0" applyBorder="1"/>
    <xf numFmtId="0" fontId="0" fillId="0" borderId="6" xfId="0" applyBorder="1"/>
    <xf numFmtId="0" fontId="2" fillId="0" borderId="2" xfId="0" applyFont="1" applyBorder="1"/>
    <xf numFmtId="0" fontId="0" fillId="4" borderId="2" xfId="0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9" borderId="2" xfId="0" applyFont="1" applyFill="1" applyBorder="1"/>
    <xf numFmtId="0" fontId="0" fillId="0" borderId="2" xfId="0" applyFill="1" applyBorder="1"/>
    <xf numFmtId="0" fontId="2" fillId="3" borderId="2" xfId="0" applyFont="1" applyFill="1" applyBorder="1"/>
    <xf numFmtId="0" fontId="0" fillId="10" borderId="2" xfId="0" applyFill="1" applyBorder="1"/>
    <xf numFmtId="0" fontId="0" fillId="0" borderId="15" xfId="0" applyFill="1" applyBorder="1"/>
    <xf numFmtId="0" fontId="8" fillId="0" borderId="4" xfId="0" applyFont="1" applyBorder="1"/>
    <xf numFmtId="0" fontId="3" fillId="3" borderId="0" xfId="1" applyFill="1"/>
    <xf numFmtId="0" fontId="8" fillId="0" borderId="0" xfId="0" applyFont="1" applyFill="1" applyBorder="1"/>
    <xf numFmtId="0" fontId="3" fillId="0" borderId="0" xfId="1" applyFill="1" applyBorder="1"/>
    <xf numFmtId="0" fontId="0" fillId="10" borderId="2" xfId="0" applyFont="1" applyFill="1" applyBorder="1"/>
    <xf numFmtId="0" fontId="0" fillId="4" borderId="0" xfId="0" applyFill="1" applyBorder="1" applyAlignment="1">
      <alignment horizontal="center"/>
    </xf>
    <xf numFmtId="0" fontId="0" fillId="3" borderId="5" xfId="0" applyFill="1" applyBorder="1"/>
    <xf numFmtId="0" fontId="0" fillId="0" borderId="6" xfId="0" applyFill="1" applyBorder="1"/>
    <xf numFmtId="0" fontId="6" fillId="10" borderId="2" xfId="0" applyFont="1" applyFill="1" applyBorder="1"/>
    <xf numFmtId="0" fontId="5" fillId="10" borderId="2" xfId="0" applyFont="1" applyFill="1" applyBorder="1"/>
    <xf numFmtId="0" fontId="0" fillId="10" borderId="0" xfId="0" applyFill="1"/>
    <xf numFmtId="0" fontId="5" fillId="10" borderId="15" xfId="0" applyFont="1" applyFill="1" applyBorder="1"/>
    <xf numFmtId="0" fontId="5" fillId="10" borderId="5" xfId="0" applyFont="1" applyFill="1" applyBorder="1"/>
    <xf numFmtId="0" fontId="3" fillId="10" borderId="0" xfId="1" applyFill="1"/>
    <xf numFmtId="0" fontId="3" fillId="10" borderId="15" xfId="1" applyFill="1" applyBorder="1"/>
    <xf numFmtId="0" fontId="3" fillId="0" borderId="0" xfId="1" quotePrefix="1"/>
    <xf numFmtId="0" fontId="0" fillId="0" borderId="2" xfId="0" applyBorder="1" applyAlignment="1">
      <alignment wrapText="1"/>
    </xf>
    <xf numFmtId="0" fontId="6" fillId="10" borderId="2" xfId="0" applyFont="1" applyFill="1" applyBorder="1" applyAlignment="1">
      <alignment wrapText="1"/>
    </xf>
    <xf numFmtId="0" fontId="6" fillId="10" borderId="0" xfId="0" applyFont="1" applyFill="1" applyBorder="1" applyAlignment="1">
      <alignment wrapText="1"/>
    </xf>
    <xf numFmtId="0" fontId="6" fillId="10" borderId="2" xfId="0" applyFont="1" applyFill="1" applyBorder="1" applyAlignment="1">
      <alignment horizontal="right"/>
    </xf>
    <xf numFmtId="0" fontId="6" fillId="10" borderId="15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0" fontId="7" fillId="0" borderId="7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3" fillId="0" borderId="2" xfId="1" applyBorder="1"/>
    <xf numFmtId="0" fontId="9" fillId="0" borderId="0" xfId="0" applyFont="1"/>
    <xf numFmtId="0" fontId="6" fillId="10" borderId="0" xfId="0" applyFont="1" applyFill="1" applyBorder="1"/>
    <xf numFmtId="0" fontId="6" fillId="10" borderId="5" xfId="0" applyFont="1" applyFill="1" applyBorder="1"/>
    <xf numFmtId="0" fontId="0" fillId="5" borderId="2" xfId="0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3" fillId="0" borderId="0" xfId="1" applyBorder="1"/>
    <xf numFmtId="0" fontId="0" fillId="0" borderId="2" xfId="0" quotePrefix="1" applyBorder="1"/>
    <xf numFmtId="16" fontId="0" fillId="0" borderId="2" xfId="0" applyNumberFormat="1" applyBorder="1"/>
    <xf numFmtId="0" fontId="0" fillId="10" borderId="0" xfId="0" applyFont="1" applyFill="1" applyBorder="1"/>
    <xf numFmtId="0" fontId="0" fillId="0" borderId="13" xfId="0" applyFill="1" applyBorder="1"/>
    <xf numFmtId="0" fontId="0" fillId="7" borderId="8" xfId="0" applyFill="1" applyBorder="1"/>
    <xf numFmtId="0" fontId="0" fillId="0" borderId="2" xfId="0" quotePrefix="1" applyBorder="1" applyAlignment="1">
      <alignment horizontal="center"/>
    </xf>
    <xf numFmtId="0" fontId="0" fillId="3" borderId="8" xfId="0" applyFill="1" applyBorder="1"/>
    <xf numFmtId="0" fontId="3" fillId="0" borderId="2" xfId="1" applyFill="1" applyBorder="1"/>
    <xf numFmtId="0" fontId="0" fillId="11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right"/>
    </xf>
    <xf numFmtId="0" fontId="0" fillId="2" borderId="2" xfId="0" applyFill="1" applyBorder="1"/>
    <xf numFmtId="0" fontId="0" fillId="2" borderId="5" xfId="0" applyFill="1" applyBorder="1"/>
    <xf numFmtId="0" fontId="0" fillId="2" borderId="7" xfId="0" applyFill="1" applyBorder="1" applyAlignment="1">
      <alignment horizontal="right"/>
    </xf>
    <xf numFmtId="0" fontId="0" fillId="2" borderId="8" xfId="0" applyFill="1" applyBorder="1"/>
    <xf numFmtId="0" fontId="0" fillId="0" borderId="2" xfId="0" applyBorder="1" applyAlignment="1">
      <alignment horizontal="right"/>
    </xf>
    <xf numFmtId="0" fontId="0" fillId="3" borderId="2" xfId="0" applyFill="1" applyBorder="1" applyAlignment="1">
      <alignment horizontal="right"/>
    </xf>
    <xf numFmtId="0" fontId="2" fillId="0" borderId="0" xfId="0" applyFont="1" applyBorder="1"/>
    <xf numFmtId="0" fontId="0" fillId="0" borderId="2" xfId="0" applyFill="1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Fill="1" applyBorder="1" applyAlignment="1">
      <alignment vertical="center"/>
    </xf>
    <xf numFmtId="0" fontId="0" fillId="3" borderId="2" xfId="0" applyFill="1" applyBorder="1" applyAlignment="1">
      <alignment horizontal="right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wrapText="1"/>
    </xf>
    <xf numFmtId="0" fontId="0" fillId="5" borderId="4" xfId="0" applyFill="1" applyBorder="1"/>
    <xf numFmtId="0" fontId="0" fillId="5" borderId="0" xfId="0" applyFill="1" applyBorder="1"/>
    <xf numFmtId="0" fontId="2" fillId="3" borderId="0" xfId="0" applyFont="1" applyFill="1"/>
    <xf numFmtId="0" fontId="1" fillId="0" borderId="0" xfId="0" applyFont="1" applyFill="1" applyBorder="1" applyAlignment="1">
      <alignment horizontal="right"/>
    </xf>
    <xf numFmtId="0" fontId="1" fillId="0" borderId="0" xfId="0" applyFont="1"/>
    <xf numFmtId="0" fontId="0" fillId="3" borderId="4" xfId="0" applyFill="1" applyBorder="1" applyAlignment="1">
      <alignment horizontal="right" wrapText="1"/>
    </xf>
    <xf numFmtId="0" fontId="0" fillId="3" borderId="7" xfId="0" applyFill="1" applyBorder="1" applyAlignment="1">
      <alignment wrapText="1"/>
    </xf>
    <xf numFmtId="0" fontId="0" fillId="0" borderId="4" xfId="0" applyBorder="1" applyAlignment="1">
      <alignment horizontal="right"/>
    </xf>
    <xf numFmtId="0" fontId="0" fillId="11" borderId="0" xfId="0" applyFill="1" applyBorder="1"/>
    <xf numFmtId="0" fontId="0" fillId="0" borderId="4" xfId="0" applyFill="1" applyBorder="1"/>
    <xf numFmtId="0" fontId="0" fillId="0" borderId="7" xfId="0" applyFill="1" applyBorder="1" applyAlignment="1">
      <alignment horizontal="right"/>
    </xf>
    <xf numFmtId="0" fontId="0" fillId="0" borderId="7" xfId="0" applyFill="1" applyBorder="1"/>
    <xf numFmtId="0" fontId="0" fillId="0" borderId="8" xfId="0" applyFill="1" applyBorder="1"/>
    <xf numFmtId="0" fontId="2" fillId="0" borderId="0" xfId="0" applyFont="1" applyFill="1" applyBorder="1"/>
    <xf numFmtId="0" fontId="0" fillId="0" borderId="10" xfId="0" applyBorder="1" applyAlignment="1">
      <alignment horizontal="right"/>
    </xf>
    <xf numFmtId="0" fontId="12" fillId="0" borderId="0" xfId="0" applyFont="1" applyBorder="1" applyAlignment="1">
      <alignment horizontal="right"/>
    </xf>
    <xf numFmtId="0" fontId="11" fillId="0" borderId="0" xfId="0" applyFont="1" applyBorder="1"/>
    <xf numFmtId="0" fontId="0" fillId="0" borderId="3" xfId="0" applyBorder="1" applyAlignment="1">
      <alignment horizontal="right"/>
    </xf>
    <xf numFmtId="0" fontId="0" fillId="0" borderId="0" xfId="0" applyBorder="1" applyAlignment="1">
      <alignment horizontal="center" vertical="center"/>
    </xf>
    <xf numFmtId="0" fontId="0" fillId="0" borderId="12" xfId="0" applyFill="1" applyBorder="1"/>
    <xf numFmtId="0" fontId="0" fillId="0" borderId="1" xfId="0" applyBorder="1" applyAlignment="1">
      <alignment horizontal="right"/>
    </xf>
    <xf numFmtId="0" fontId="13" fillId="0" borderId="3" xfId="0" applyFont="1" applyBorder="1" applyAlignment="1">
      <alignment horizontal="right"/>
    </xf>
    <xf numFmtId="0" fontId="13" fillId="0" borderId="0" xfId="0" applyFont="1" applyBorder="1" applyAlignment="1">
      <alignment horizontal="right"/>
    </xf>
    <xf numFmtId="0" fontId="0" fillId="2" borderId="9" xfId="0" applyFill="1" applyBorder="1"/>
    <xf numFmtId="0" fontId="0" fillId="0" borderId="8" xfId="0" applyFill="1" applyBorder="1" applyAlignment="1">
      <alignment horizontal="right"/>
    </xf>
    <xf numFmtId="0" fontId="0" fillId="0" borderId="14" xfId="0" applyFill="1" applyBorder="1" applyAlignment="1">
      <alignment horizontal="right"/>
    </xf>
    <xf numFmtId="0" fontId="0" fillId="0" borderId="9" xfId="0" applyFill="1" applyBorder="1"/>
    <xf numFmtId="0" fontId="0" fillId="0" borderId="10" xfId="0" applyFill="1" applyBorder="1" applyAlignment="1">
      <alignment horizontal="right"/>
    </xf>
    <xf numFmtId="0" fontId="0" fillId="3" borderId="9" xfId="0" applyFill="1" applyBorder="1"/>
    <xf numFmtId="0" fontId="0" fillId="3" borderId="10" xfId="0" applyFill="1" applyBorder="1" applyAlignment="1">
      <alignment horizontal="right"/>
    </xf>
    <xf numFmtId="0" fontId="0" fillId="3" borderId="10" xfId="0" applyFill="1" applyBorder="1"/>
    <xf numFmtId="0" fontId="0" fillId="3" borderId="11" xfId="0" applyFill="1" applyBorder="1"/>
    <xf numFmtId="0" fontId="0" fillId="3" borderId="0" xfId="0" applyFill="1" applyBorder="1" applyAlignment="1">
      <alignment horizontal="right"/>
    </xf>
    <xf numFmtId="0" fontId="0" fillId="3" borderId="3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0" xfId="0" applyFill="1" applyBorder="1"/>
    <xf numFmtId="0" fontId="0" fillId="2" borderId="11" xfId="0" applyFill="1" applyBorder="1"/>
    <xf numFmtId="0" fontId="0" fillId="3" borderId="4" xfId="0" applyFill="1" applyBorder="1"/>
    <xf numFmtId="0" fontId="0" fillId="3" borderId="8" xfId="0" applyFill="1" applyBorder="1" applyAlignment="1">
      <alignment horizontal="right"/>
    </xf>
    <xf numFmtId="0" fontId="0" fillId="0" borderId="0" xfId="0" applyAlignment="1">
      <alignment horizontal="left"/>
    </xf>
    <xf numFmtId="0" fontId="13" fillId="0" borderId="0" xfId="0" applyFont="1" applyAlignment="1">
      <alignment horizontal="right"/>
    </xf>
    <xf numFmtId="0" fontId="0" fillId="2" borderId="0" xfId="0" applyFill="1"/>
    <xf numFmtId="0" fontId="14" fillId="13" borderId="0" xfId="0" applyFont="1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13" borderId="2" xfId="0" applyFill="1" applyBorder="1"/>
    <xf numFmtId="0" fontId="14" fillId="0" borderId="0" xfId="0" applyFont="1" applyFill="1" applyAlignment="1">
      <alignment horizontal="center"/>
    </xf>
    <xf numFmtId="16" fontId="0" fillId="2" borderId="4" xfId="0" applyNumberFormat="1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0" fillId="0" borderId="6" xfId="0" applyBorder="1" applyAlignment="1">
      <alignment horizontal="righ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8" fillId="9" borderId="0" xfId="0" applyFont="1" applyFill="1"/>
    <xf numFmtId="0" fontId="19" fillId="0" borderId="0" xfId="0" applyFont="1"/>
    <xf numFmtId="0" fontId="0" fillId="14" borderId="2" xfId="0" applyFill="1" applyBorder="1"/>
    <xf numFmtId="0" fontId="0" fillId="14" borderId="2" xfId="0" applyFill="1" applyBorder="1" applyAlignment="1">
      <alignment horizontal="right"/>
    </xf>
    <xf numFmtId="0" fontId="20" fillId="0" borderId="0" xfId="0" applyFont="1"/>
    <xf numFmtId="0" fontId="0" fillId="3" borderId="0" xfId="0" applyFill="1" applyBorder="1"/>
    <xf numFmtId="0" fontId="0" fillId="3" borderId="2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right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right" wrapText="1"/>
    </xf>
    <xf numFmtId="0" fontId="13" fillId="0" borderId="0" xfId="0" applyFont="1" applyFill="1" applyAlignment="1">
      <alignment horizontal="right"/>
    </xf>
    <xf numFmtId="0" fontId="0" fillId="8" borderId="2" xfId="0" applyFill="1" applyBorder="1"/>
    <xf numFmtId="0" fontId="0" fillId="4" borderId="0" xfId="0" applyFill="1" applyAlignment="1">
      <alignment horizontal="center"/>
    </xf>
    <xf numFmtId="0" fontId="2" fillId="0" borderId="0" xfId="0" applyFo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9" borderId="5" xfId="0" applyFill="1" applyBorder="1"/>
    <xf numFmtId="0" fontId="0" fillId="9" borderId="15" xfId="0" applyFill="1" applyBorder="1"/>
    <xf numFmtId="0" fontId="0" fillId="15" borderId="15" xfId="0" applyFill="1" applyBorder="1"/>
    <xf numFmtId="0" fontId="0" fillId="5" borderId="15" xfId="0" applyFill="1" applyBorder="1"/>
    <xf numFmtId="0" fontId="0" fillId="5" borderId="6" xfId="0" applyFill="1" applyBorder="1"/>
    <xf numFmtId="0" fontId="0" fillId="5" borderId="5" xfId="0" applyFill="1" applyBorder="1"/>
    <xf numFmtId="0" fontId="0" fillId="16" borderId="15" xfId="0" applyFill="1" applyBorder="1"/>
    <xf numFmtId="0" fontId="0" fillId="16" borderId="6" xfId="0" applyFill="1" applyBorder="1"/>
    <xf numFmtId="0" fontId="0" fillId="17" borderId="2" xfId="0" applyFill="1" applyBorder="1"/>
    <xf numFmtId="0" fontId="0" fillId="17" borderId="2" xfId="0" applyFill="1" applyBorder="1" applyAlignment="1">
      <alignment horizontal="right"/>
    </xf>
    <xf numFmtId="164" fontId="0" fillId="0" borderId="0" xfId="0" applyNumberFormat="1"/>
    <xf numFmtId="0" fontId="0" fillId="17" borderId="0" xfId="0" applyFill="1"/>
    <xf numFmtId="0" fontId="0" fillId="18" borderId="2" xfId="0" applyFill="1" applyBorder="1"/>
    <xf numFmtId="0" fontId="0" fillId="19" borderId="0" xfId="0" applyFill="1"/>
    <xf numFmtId="0" fontId="0" fillId="19" borderId="2" xfId="0" applyFill="1" applyBorder="1"/>
    <xf numFmtId="0" fontId="0" fillId="19" borderId="2" xfId="0" applyFill="1" applyBorder="1" applyAlignment="1">
      <alignment horizontal="right"/>
    </xf>
    <xf numFmtId="0" fontId="0" fillId="0" borderId="0" xfId="0" applyFill="1" applyBorder="1" applyAlignment="1"/>
    <xf numFmtId="0" fontId="0" fillId="0" borderId="2" xfId="0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/>
    <xf numFmtId="0" fontId="0" fillId="0" borderId="2" xfId="0" applyFill="1" applyBorder="1" applyAlignment="1"/>
    <xf numFmtId="0" fontId="0" fillId="9" borderId="2" xfId="0" applyFill="1" applyBorder="1" applyAlignment="1"/>
    <xf numFmtId="0" fontId="0" fillId="3" borderId="2" xfId="0" applyFill="1" applyBorder="1" applyAlignment="1"/>
    <xf numFmtId="0" fontId="0" fillId="0" borderId="2" xfId="0" applyBorder="1" applyAlignment="1">
      <alignment vertical="center"/>
    </xf>
    <xf numFmtId="0" fontId="0" fillId="5" borderId="2" xfId="0" applyFill="1" applyBorder="1" applyAlignment="1">
      <alignment horizontal="right"/>
    </xf>
    <xf numFmtId="0" fontId="0" fillId="3" borderId="15" xfId="0" applyFill="1" applyBorder="1" applyAlignment="1">
      <alignment horizontal="center"/>
    </xf>
    <xf numFmtId="0" fontId="0" fillId="2" borderId="2" xfId="0" applyFill="1" applyBorder="1" applyAlignment="1">
      <alignment horizontal="right"/>
    </xf>
    <xf numFmtId="0" fontId="0" fillId="2" borderId="0" xfId="0" applyFill="1" applyBorder="1"/>
    <xf numFmtId="0" fontId="0" fillId="4" borderId="0" xfId="0" applyFill="1" applyAlignment="1">
      <alignment horizontal="right"/>
    </xf>
    <xf numFmtId="0" fontId="0" fillId="4" borderId="0" xfId="0" applyFill="1" applyBorder="1" applyAlignment="1"/>
    <xf numFmtId="0" fontId="0" fillId="4" borderId="12" xfId="0" applyFill="1" applyBorder="1" applyAlignment="1"/>
    <xf numFmtId="0" fontId="0" fillId="20" borderId="0" xfId="0" applyFill="1" applyBorder="1"/>
    <xf numFmtId="0" fontId="0" fillId="20" borderId="0" xfId="0" applyFill="1" applyBorder="1" applyAlignment="1">
      <alignment horizontal="center"/>
    </xf>
    <xf numFmtId="0" fontId="0" fillId="20" borderId="0" xfId="0" applyFill="1" applyBorder="1" applyAlignment="1">
      <alignment horizontal="center" wrapText="1"/>
    </xf>
    <xf numFmtId="0" fontId="0" fillId="20" borderId="2" xfId="0" applyFill="1" applyBorder="1"/>
    <xf numFmtId="0" fontId="0" fillId="20" borderId="2" xfId="0" applyFill="1" applyBorder="1" applyAlignment="1">
      <alignment horizontal="right"/>
    </xf>
    <xf numFmtId="0" fontId="21" fillId="0" borderId="2" xfId="0" applyFont="1" applyBorder="1"/>
    <xf numFmtId="0" fontId="0" fillId="3" borderId="15" xfId="0" applyFill="1" applyBorder="1" applyAlignment="1">
      <alignment horizontal="center" wrapText="1"/>
    </xf>
    <xf numFmtId="0" fontId="0" fillId="10" borderId="0" xfId="0" applyFill="1" applyBorder="1"/>
    <xf numFmtId="0" fontId="0" fillId="0" borderId="9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11" borderId="2" xfId="0" applyFill="1" applyBorder="1" applyAlignment="1">
      <alignment wrapText="1"/>
    </xf>
    <xf numFmtId="0" fontId="1" fillId="10" borderId="0" xfId="0" applyFont="1" applyFill="1" applyBorder="1"/>
    <xf numFmtId="0" fontId="0" fillId="21" borderId="9" xfId="0" applyFill="1" applyBorder="1"/>
    <xf numFmtId="0" fontId="0" fillId="21" borderId="10" xfId="0" applyFill="1" applyBorder="1"/>
    <xf numFmtId="0" fontId="0" fillId="21" borderId="11" xfId="0" applyFill="1" applyBorder="1"/>
    <xf numFmtId="0" fontId="0" fillId="21" borderId="3" xfId="0" applyFill="1" applyBorder="1"/>
    <xf numFmtId="0" fontId="0" fillId="21" borderId="0" xfId="0" applyFill="1" applyBorder="1"/>
    <xf numFmtId="0" fontId="0" fillId="21" borderId="13" xfId="0" applyFill="1" applyBorder="1"/>
    <xf numFmtId="0" fontId="0" fillId="21" borderId="1" xfId="0" applyFill="1" applyBorder="1"/>
    <xf numFmtId="0" fontId="0" fillId="21" borderId="14" xfId="0" applyFill="1" applyBorder="1"/>
    <xf numFmtId="0" fontId="0" fillId="21" borderId="12" xfId="0" applyFill="1" applyBorder="1"/>
    <xf numFmtId="0" fontId="0" fillId="20" borderId="9" xfId="0" applyFill="1" applyBorder="1"/>
    <xf numFmtId="0" fontId="0" fillId="20" borderId="10" xfId="0" applyFill="1" applyBorder="1"/>
    <xf numFmtId="0" fontId="0" fillId="20" borderId="3" xfId="0" applyFill="1" applyBorder="1"/>
    <xf numFmtId="0" fontId="0" fillId="20" borderId="13" xfId="0" applyFill="1" applyBorder="1"/>
    <xf numFmtId="0" fontId="0" fillId="20" borderId="1" xfId="0" applyFill="1" applyBorder="1"/>
    <xf numFmtId="0" fontId="0" fillId="20" borderId="14" xfId="0" applyFill="1" applyBorder="1"/>
    <xf numFmtId="0" fontId="0" fillId="15" borderId="4" xfId="0" applyFill="1" applyBorder="1"/>
    <xf numFmtId="0" fontId="0" fillId="15" borderId="7" xfId="0" applyFill="1" applyBorder="1"/>
    <xf numFmtId="0" fontId="0" fillId="15" borderId="8" xfId="0" applyFill="1" applyBorder="1"/>
    <xf numFmtId="0" fontId="0" fillId="15" borderId="7" xfId="0" applyFill="1" applyBorder="1" applyAlignment="1">
      <alignment horizontal="right"/>
    </xf>
    <xf numFmtId="0" fontId="0" fillId="15" borderId="2" xfId="0" applyFill="1" applyBorder="1"/>
    <xf numFmtId="0" fontId="0" fillId="15" borderId="2" xfId="0" applyFill="1" applyBorder="1" applyAlignment="1">
      <alignment wrapText="1"/>
    </xf>
    <xf numFmtId="0" fontId="0" fillId="15" borderId="8" xfId="0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0" fillId="9" borderId="2" xfId="0" applyFill="1" applyBorder="1"/>
    <xf numFmtId="0" fontId="0" fillId="9" borderId="4" xfId="0" applyFill="1" applyBorder="1"/>
    <xf numFmtId="0" fontId="0" fillId="9" borderId="7" xfId="0" applyFill="1" applyBorder="1"/>
    <xf numFmtId="0" fontId="0" fillId="9" borderId="8" xfId="0" applyFill="1" applyBorder="1"/>
    <xf numFmtId="0" fontId="0" fillId="0" borderId="0" xfId="0" quotePrefix="1"/>
    <xf numFmtId="0" fontId="0" fillId="0" borderId="0" xfId="0" quotePrefix="1" applyBorder="1"/>
    <xf numFmtId="0" fontId="2" fillId="0" borderId="7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1" fillId="0" borderId="2" xfId="0" applyFont="1" applyFill="1" applyBorder="1"/>
    <xf numFmtId="0" fontId="0" fillId="22" borderId="2" xfId="0" applyFill="1" applyBorder="1"/>
    <xf numFmtId="0" fontId="0" fillId="0" borderId="2" xfId="0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23" borderId="2" xfId="0" applyFill="1" applyBorder="1" applyAlignment="1">
      <alignment horizontal="center"/>
    </xf>
    <xf numFmtId="0" fontId="0" fillId="0" borderId="0" xfId="0" applyAlignment="1"/>
    <xf numFmtId="0" fontId="3" fillId="11" borderId="0" xfId="1" applyFill="1"/>
    <xf numFmtId="0" fontId="0" fillId="4" borderId="0" xfId="0" quotePrefix="1" applyFill="1" applyAlignment="1">
      <alignment horizontal="right"/>
    </xf>
    <xf numFmtId="0" fontId="0" fillId="4" borderId="0" xfId="0" quotePrefix="1" applyFill="1" applyAlignment="1">
      <alignment horizontal="center"/>
    </xf>
    <xf numFmtId="0" fontId="2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4" borderId="0" xfId="0" applyFill="1" applyBorder="1"/>
    <xf numFmtId="0" fontId="0" fillId="9" borderId="2" xfId="0" applyFill="1" applyBorder="1" applyAlignment="1">
      <alignment horizontal="center"/>
    </xf>
    <xf numFmtId="0" fontId="0" fillId="3" borderId="13" xfId="0" applyFill="1" applyBorder="1"/>
    <xf numFmtId="0" fontId="0" fillId="3" borderId="14" xfId="0" applyFill="1" applyBorder="1"/>
    <xf numFmtId="0" fontId="0" fillId="17" borderId="3" xfId="0" applyFill="1" applyBorder="1"/>
    <xf numFmtId="0" fontId="0" fillId="11" borderId="2" xfId="0" applyFill="1" applyBorder="1" applyAlignment="1">
      <alignment horizontal="right"/>
    </xf>
    <xf numFmtId="0" fontId="0" fillId="15" borderId="2" xfId="0" applyFill="1" applyBorder="1" applyAlignment="1">
      <alignment horizontal="center" vertical="center" wrapText="1"/>
    </xf>
    <xf numFmtId="0" fontId="0" fillId="0" borderId="4" xfId="0" quotePrefix="1" applyBorder="1"/>
    <xf numFmtId="0" fontId="0" fillId="0" borderId="2" xfId="0" applyBorder="1" applyAlignment="1">
      <alignment horizontal="right" vertical="top"/>
    </xf>
    <xf numFmtId="0" fontId="3" fillId="0" borderId="2" xfId="1" applyBorder="1" applyAlignment="1">
      <alignment vertical="top"/>
    </xf>
    <xf numFmtId="0" fontId="3" fillId="0" borderId="1" xfId="1" applyBorder="1"/>
    <xf numFmtId="0" fontId="0" fillId="3" borderId="0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3" fillId="11" borderId="0" xfId="1" quotePrefix="1" applyFont="1" applyFill="1"/>
    <xf numFmtId="0" fontId="0" fillId="0" borderId="0" xfId="0" quotePrefix="1" applyFill="1" applyBorder="1" applyAlignment="1">
      <alignment horizontal="right"/>
    </xf>
    <xf numFmtId="0" fontId="0" fillId="0" borderId="0" xfId="0" quotePrefix="1" applyFill="1" applyBorder="1" applyAlignment="1">
      <alignment horizont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17" borderId="0" xfId="0" applyFont="1" applyFill="1" applyAlignment="1">
      <alignment vertical="center" wrapText="1"/>
    </xf>
    <xf numFmtId="0" fontId="23" fillId="0" borderId="0" xfId="1" applyFont="1" applyFill="1"/>
    <xf numFmtId="0" fontId="0" fillId="9" borderId="6" xfId="0" applyFill="1" applyBorder="1"/>
    <xf numFmtId="0" fontId="0" fillId="0" borderId="2" xfId="0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10" fontId="0" fillId="0" borderId="2" xfId="0" applyNumberForma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0" fontId="2" fillId="0" borderId="2" xfId="0" applyNumberFormat="1" applyFont="1" applyBorder="1" applyAlignment="1">
      <alignment vertical="center" wrapText="1"/>
    </xf>
    <xf numFmtId="0" fontId="24" fillId="0" borderId="4" xfId="0" applyFont="1" applyBorder="1"/>
    <xf numFmtId="0" fontId="25" fillId="11" borderId="0" xfId="1" quotePrefix="1" applyFont="1" applyFill="1"/>
    <xf numFmtId="0" fontId="25" fillId="11" borderId="0" xfId="1" applyFont="1" applyFill="1"/>
    <xf numFmtId="0" fontId="25" fillId="9" borderId="0" xfId="1" quotePrefix="1" applyFont="1" applyFill="1"/>
    <xf numFmtId="0" fontId="23" fillId="24" borderId="0" xfId="1" quotePrefix="1" applyFont="1" applyFill="1"/>
    <xf numFmtId="16" fontId="0" fillId="0" borderId="0" xfId="0" applyNumberFormat="1" applyBorder="1"/>
    <xf numFmtId="0" fontId="0" fillId="12" borderId="9" xfId="0" applyFill="1" applyBorder="1"/>
    <xf numFmtId="0" fontId="0" fillId="12" borderId="10" xfId="0" applyFill="1" applyBorder="1"/>
    <xf numFmtId="0" fontId="0" fillId="12" borderId="11" xfId="0" applyFill="1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12" borderId="4" xfId="0" applyFill="1" applyBorder="1"/>
    <xf numFmtId="0" fontId="0" fillId="12" borderId="7" xfId="0" applyFill="1" applyBorder="1"/>
    <xf numFmtId="0" fontId="0" fillId="12" borderId="8" xfId="0" applyFill="1" applyBorder="1"/>
    <xf numFmtId="0" fontId="0" fillId="25" borderId="2" xfId="0" applyFill="1" applyBorder="1"/>
    <xf numFmtId="0" fontId="0" fillId="5" borderId="0" xfId="0" applyFill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13" borderId="2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19" borderId="1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17" borderId="2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5" fillId="10" borderId="0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6" fillId="10" borderId="3" xfId="0" applyFont="1" applyFill="1" applyBorder="1" applyAlignment="1">
      <alignment horizontal="center"/>
    </xf>
    <xf numFmtId="0" fontId="6" fillId="10" borderId="0" xfId="0" applyFont="1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9" borderId="4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0" borderId="4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9" borderId="2" xfId="0" applyFill="1" applyBorder="1" applyAlignment="1">
      <alignment horizontal="center"/>
    </xf>
    <xf numFmtId="0" fontId="0" fillId="9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ctrlProps/ctrlProp1.xml><?xml version="1.0" encoding="utf-8"?>
<formControlPr xmlns="http://schemas.microsoft.com/office/spreadsheetml/2009/9/main" objectType="Drop" dropStyle="combo" dx="20" noThreeD="1" sel="0" val="0"/>
</file>

<file path=xl/ctrlProps/ctrlProp2.xml><?xml version="1.0" encoding="utf-8"?>
<formControlPr xmlns="http://schemas.microsoft.com/office/spreadsheetml/2009/9/main" objectType="Drop" dropStyle="combo" dx="20" noThreeD="1" sel="0" val="0"/>
</file>

<file path=xl/ctrlProps/ctrlProp3.xml><?xml version="1.0" encoding="utf-8"?>
<formControlPr xmlns="http://schemas.microsoft.com/office/spreadsheetml/2009/9/main" objectType="Drop" dropStyle="combo" dx="20" noThreeD="1" sel="0" val="0"/>
</file>

<file path=xl/ctrlProps/ctrlProp4.xml><?xml version="1.0" encoding="utf-8"?>
<formControlPr xmlns="http://schemas.microsoft.com/office/spreadsheetml/2009/9/main" objectType="Drop" dropStyle="combo" dx="20" noThreeD="1" sel="0" val="0"/>
</file>

<file path=xl/ctrlProps/ctrlProp5.xml><?xml version="1.0" encoding="utf-8"?>
<formControlPr xmlns="http://schemas.microsoft.com/office/spreadsheetml/2009/9/main" objectType="Drop" dropStyle="combo" dx="20" noThreeD="1" sel="0" val="0"/>
</file>

<file path=xl/ctrlProps/ctrlProp6.xml><?xml version="1.0" encoding="utf-8"?>
<formControlPr xmlns="http://schemas.microsoft.com/office/spreadsheetml/2009/9/main" objectType="Drop" dropStyle="combo" dx="20" noThreeD="1" sel="0" val="0"/>
</file>

<file path=xl/ctrlProps/ctrlProp7.xml><?xml version="1.0" encoding="utf-8"?>
<formControlPr xmlns="http://schemas.microsoft.com/office/spreadsheetml/2009/9/main" objectType="Drop" dropStyle="combo" dx="20" noThreeD="1" sel="0" val="0"/>
</file>

<file path=xl/ctrlProps/ctrlProp8.xml><?xml version="1.0" encoding="utf-8"?>
<formControlPr xmlns="http://schemas.microsoft.com/office/spreadsheetml/2009/9/main" objectType="Drop" dropStyle="combo" dx="20" noThreeD="1" sel="0" val="0"/>
</file>

<file path=xl/ctrlProps/ctrlProp9.xml><?xml version="1.0" encoding="utf-8"?>
<formControlPr xmlns="http://schemas.microsoft.com/office/spreadsheetml/2009/9/main" objectType="Drop" dropStyle="combo" dx="20" noThreeD="1" sel="0" val="0"/>
</file>

<file path=xl/ctrlProps/ctrlProp10.xml><?xml version="1.0" encoding="utf-8"?>
<formControlPr xmlns="http://schemas.microsoft.com/office/spreadsheetml/2009/9/main" objectType="Drop" dropStyle="combo" dx="20" noThreeD="1" sel="0" val="0"/>
</file>

<file path=xl/ctrlProps/ctrlProp11.xml><?xml version="1.0" encoding="utf-8"?>
<formControlPr xmlns="http://schemas.microsoft.com/office/spreadsheetml/2009/9/main" objectType="Drop" dropStyle="combo" dx="20" noThreeD="1" sel="0" val="0"/>
</file>

<file path=xl/ctrlProps/ctrlProp12.xml><?xml version="1.0" encoding="utf-8"?>
<formControlPr xmlns="http://schemas.microsoft.com/office/spreadsheetml/2009/9/main" objectType="Drop" dropStyle="combo" dx="20" noThreeD="1" sel="0" val="0"/>
</file>

<file path=xl/ctrlProps/ctrlProp13.xml><?xml version="1.0" encoding="utf-8"?>
<formControlPr xmlns="http://schemas.microsoft.com/office/spreadsheetml/2009/9/main" objectType="Drop" dropStyle="combo" dx="20" noThreeD="1" sel="0" val="0"/>
</file>

<file path=xl/ctrlProps/ctrlProp14.xml><?xml version="1.0" encoding="utf-8"?>
<formControlPr xmlns="http://schemas.microsoft.com/office/spreadsheetml/2009/9/main" objectType="Drop" dropStyle="combo" dx="20" noThreeD="1" sel="0" val="0"/>
</file>

<file path=xl/ctrlProps/ctrlProp15.xml><?xml version="1.0" encoding="utf-8"?>
<formControlPr xmlns="http://schemas.microsoft.com/office/spreadsheetml/2009/9/main" objectType="Drop" dropStyle="combo" dx="20" noThreeD="1" sel="0" val="0"/>
</file>

<file path=xl/ctrlProps/ctrlProp16.xml><?xml version="1.0" encoding="utf-8"?>
<formControlPr xmlns="http://schemas.microsoft.com/office/spreadsheetml/2009/9/main" objectType="Drop" dropStyle="combo" dx="20" noThreeD="1" sel="0" val="0"/>
</file>

<file path=xl/ctrlProps/ctrlProp17.xml><?xml version="1.0" encoding="utf-8"?>
<formControlPr xmlns="http://schemas.microsoft.com/office/spreadsheetml/2009/9/main" objectType="Drop" dropStyle="combo" dx="20" noThreeD="1" sel="0" val="0"/>
</file>

<file path=xl/ctrlProps/ctrlProp18.xml><?xml version="1.0" encoding="utf-8"?>
<formControlPr xmlns="http://schemas.microsoft.com/office/spreadsheetml/2009/9/main" objectType="Drop" dropStyle="combo" dx="20" noThreeD="1" sel="0" val="0"/>
</file>

<file path=xl/ctrlProps/ctrlProp19.xml><?xml version="1.0" encoding="utf-8"?>
<formControlPr xmlns="http://schemas.microsoft.com/office/spreadsheetml/2009/9/main" objectType="Drop" dropStyle="combo" dx="20" noThreeD="1" sel="0" val="0"/>
</file>

<file path=xl/ctrlProps/ctrlProp20.xml><?xml version="1.0" encoding="utf-8"?>
<formControlPr xmlns="http://schemas.microsoft.com/office/spreadsheetml/2009/9/main" objectType="Drop" dropStyle="combo" dx="20" noThreeD="1" sel="0" val="0"/>
</file>

<file path=xl/ctrlProps/ctrlProp21.xml><?xml version="1.0" encoding="utf-8"?>
<formControlPr xmlns="http://schemas.microsoft.com/office/spreadsheetml/2009/9/main" objectType="Drop" dropStyle="combo" dx="20" noThreeD="1" sel="0" val="0"/>
</file>

<file path=xl/ctrlProps/ctrlProp22.xml><?xml version="1.0" encoding="utf-8"?>
<formControlPr xmlns="http://schemas.microsoft.com/office/spreadsheetml/2009/9/main" objectType="Drop" dropStyle="combo" dx="20" noThreeD="1" sel="0" val="0"/>
</file>

<file path=xl/ctrlProps/ctrlProp23.xml><?xml version="1.0" encoding="utf-8"?>
<formControlPr xmlns="http://schemas.microsoft.com/office/spreadsheetml/2009/9/main" objectType="Drop" dropStyle="combo" dx="20" noThreeD="1" sel="0" val="0"/>
</file>

<file path=xl/ctrlProps/ctrlProp24.xml><?xml version="1.0" encoding="utf-8"?>
<formControlPr xmlns="http://schemas.microsoft.com/office/spreadsheetml/2009/9/main" objectType="Drop" dropStyle="combo" dx="20" noThreeD="1" sel="0" val="0"/>
</file>

<file path=xl/ctrlProps/ctrlProp25.xml><?xml version="1.0" encoding="utf-8"?>
<formControlPr xmlns="http://schemas.microsoft.com/office/spreadsheetml/2009/9/main" objectType="Drop" dropStyle="combo" dx="20" noThreeD="1" sel="0" val="0"/>
</file>

<file path=xl/ctrlProps/ctrlProp26.xml><?xml version="1.0" encoding="utf-8"?>
<formControlPr xmlns="http://schemas.microsoft.com/office/spreadsheetml/2009/9/main" objectType="Drop" dropStyle="combo" dx="20" noThreeD="1" sel="0" val="0"/>
</file>

<file path=xl/ctrlProps/ctrlProp27.xml><?xml version="1.0" encoding="utf-8"?>
<formControlPr xmlns="http://schemas.microsoft.com/office/spreadsheetml/2009/9/main" objectType="Drop" dropStyle="combo" dx="20" noThreeD="1" sel="0" val="0"/>
</file>

<file path=xl/ctrlProps/ctrlProp28.xml><?xml version="1.0" encoding="utf-8"?>
<formControlPr xmlns="http://schemas.microsoft.com/office/spreadsheetml/2009/9/main" objectType="Drop" dropStyle="combo" dx="20" noThreeD="1" sel="0" val="0"/>
</file>

<file path=xl/ctrlProps/ctrlProp29.xml><?xml version="1.0" encoding="utf-8"?>
<formControlPr xmlns="http://schemas.microsoft.com/office/spreadsheetml/2009/9/main" objectType="Drop" dropStyle="combo" dx="20" noThreeD="1" sel="0" val="0"/>
</file>

<file path=xl/ctrlProps/ctrlProp30.xml><?xml version="1.0" encoding="utf-8"?>
<formControlPr xmlns="http://schemas.microsoft.com/office/spreadsheetml/2009/9/main" objectType="Drop" dropStyle="combo" dx="20" noThreeD="1" sel="0" val="0"/>
</file>

<file path=xl/ctrlProps/ctrlProp31.xml><?xml version="1.0" encoding="utf-8"?>
<formControlPr xmlns="http://schemas.microsoft.com/office/spreadsheetml/2009/9/main" objectType="Drop" dropStyle="combo" dx="20" noThreeD="1" sel="0" val="0"/>
</file>

<file path=xl/ctrlProps/ctrlProp32.xml><?xml version="1.0" encoding="utf-8"?>
<formControlPr xmlns="http://schemas.microsoft.com/office/spreadsheetml/2009/9/main" objectType="Drop" dropStyle="combo" dx="20" noThreeD="1" sel="0" val="0"/>
</file>

<file path=xl/ctrlProps/ctrlProp33.xml><?xml version="1.0" encoding="utf-8"?>
<formControlPr xmlns="http://schemas.microsoft.com/office/spreadsheetml/2009/9/main" objectType="Drop" dropStyle="combo" dx="20" noThreeD="1" sel="0" val="0"/>
</file>

<file path=xl/ctrlProps/ctrlProp34.xml><?xml version="1.0" encoding="utf-8"?>
<formControlPr xmlns="http://schemas.microsoft.com/office/spreadsheetml/2009/9/main" objectType="Drop" dropStyle="combo" dx="20" noThreeD="1" sel="0" val="0"/>
</file>

<file path=xl/ctrlProps/ctrlProp35.xml><?xml version="1.0" encoding="utf-8"?>
<formControlPr xmlns="http://schemas.microsoft.com/office/spreadsheetml/2009/9/main" objectType="Drop" dropStyle="combo" dx="20" noThreeD="1" sel="0" val="0"/>
</file>

<file path=xl/ctrlProps/ctrlProp36.xml><?xml version="1.0" encoding="utf-8"?>
<formControlPr xmlns="http://schemas.microsoft.com/office/spreadsheetml/2009/9/main" objectType="Drop" dropStyle="combo" dx="20" noThreeD="1" sel="0" val="0"/>
</file>

<file path=xl/ctrlProps/ctrlProp37.xml><?xml version="1.0" encoding="utf-8"?>
<formControlPr xmlns="http://schemas.microsoft.com/office/spreadsheetml/2009/9/main" objectType="Drop" dropStyle="combo" dx="20" noThreeD="1" sel="0" val="0"/>
</file>

<file path=xl/ctrlProps/ctrlProp38.xml><?xml version="1.0" encoding="utf-8"?>
<formControlPr xmlns="http://schemas.microsoft.com/office/spreadsheetml/2009/9/main" objectType="Drop" dropStyle="combo" dx="20" noThreeD="1" sel="0" val="0"/>
</file>

<file path=xl/ctrlProps/ctrlProp39.xml><?xml version="1.0" encoding="utf-8"?>
<formControlPr xmlns="http://schemas.microsoft.com/office/spreadsheetml/2009/9/main" objectType="Drop" dropStyle="combo" dx="20" noThreeD="1" sel="0" val="0"/>
</file>

<file path=xl/ctrlProps/ctrlProp40.xml><?xml version="1.0" encoding="utf-8"?>
<formControlPr xmlns="http://schemas.microsoft.com/office/spreadsheetml/2009/9/main" objectType="Drop" dropStyle="combo" dx="20" noThreeD="1" sel="0" val="0"/>
</file>

<file path=xl/ctrlProps/ctrlProp41.xml><?xml version="1.0" encoding="utf-8"?>
<formControlPr xmlns="http://schemas.microsoft.com/office/spreadsheetml/2009/9/main" objectType="Drop" dropStyle="combo" dx="20" noThreeD="1" sel="0" val="0"/>
</file>

<file path=xl/ctrlProps/ctrlProp42.xml><?xml version="1.0" encoding="utf-8"?>
<formControlPr xmlns="http://schemas.microsoft.com/office/spreadsheetml/2009/9/main" objectType="Drop" dropStyle="combo" dx="20" noThreeD="1" sel="0" val="0"/>
</file>

<file path=xl/ctrlProps/ctrlProp43.xml><?xml version="1.0" encoding="utf-8"?>
<formControlPr xmlns="http://schemas.microsoft.com/office/spreadsheetml/2009/9/main" objectType="Drop" dropStyle="combo" dx="20" noThreeD="1" sel="0" val="0"/>
</file>

<file path=xl/ctrlProps/ctrlProp44.xml><?xml version="1.0" encoding="utf-8"?>
<formControlPr xmlns="http://schemas.microsoft.com/office/spreadsheetml/2009/9/main" objectType="Drop" dropStyle="combo" dx="20" noThreeD="1" sel="0" val="0"/>
</file>

<file path=xl/ctrlProps/ctrlProp45.xml><?xml version="1.0" encoding="utf-8"?>
<formControlPr xmlns="http://schemas.microsoft.com/office/spreadsheetml/2009/9/main" objectType="Drop" dropStyle="combo" dx="20" noThreeD="1" sel="0" val="0"/>
</file>

<file path=xl/ctrlProps/ctrlProp46.xml><?xml version="1.0" encoding="utf-8"?>
<formControlPr xmlns="http://schemas.microsoft.com/office/spreadsheetml/2009/9/main" objectType="Drop" dropStyle="combo" dx="20" noThreeD="1" sel="0" val="0"/>
</file>

<file path=xl/ctrlProps/ctrlProp47.xml><?xml version="1.0" encoding="utf-8"?>
<formControlPr xmlns="http://schemas.microsoft.com/office/spreadsheetml/2009/9/main" objectType="Drop" dropStyle="combo" dx="20" noThreeD="1" sel="0" val="0"/>
</file>

<file path=xl/ctrlProps/ctrlProp48.xml><?xml version="1.0" encoding="utf-8"?>
<formControlPr xmlns="http://schemas.microsoft.com/office/spreadsheetml/2009/9/main" objectType="Drop" dropStyle="combo" dx="20" noThreeD="1" sel="0" val="0"/>
</file>

<file path=xl/ctrlProps/ctrlProp49.xml><?xml version="1.0" encoding="utf-8"?>
<formControlPr xmlns="http://schemas.microsoft.com/office/spreadsheetml/2009/9/main" objectType="Drop" dropStyle="combo" dx="20" noThreeD="1" sel="0" val="0"/>
</file>

<file path=xl/ctrlProps/ctrlProp50.xml><?xml version="1.0" encoding="utf-8"?>
<formControlPr xmlns="http://schemas.microsoft.com/office/spreadsheetml/2009/9/main" objectType="Drop" dropStyle="combo" dx="20" noThreeD="1" sel="0" val="0"/>
</file>

<file path=xl/ctrlProps/ctrlProp51.xml><?xml version="1.0" encoding="utf-8"?>
<formControlPr xmlns="http://schemas.microsoft.com/office/spreadsheetml/2009/9/main" objectType="Drop" dropStyle="combo" dx="20" noThreeD="1" sel="0" val="0"/>
</file>

<file path=xl/ctrlProps/ctrlProp52.xml><?xml version="1.0" encoding="utf-8"?>
<formControlPr xmlns="http://schemas.microsoft.com/office/spreadsheetml/2009/9/main" objectType="Drop" dropStyle="combo" dx="20" noThreeD="1" sel="0" val="0"/>
</file>

<file path=xl/ctrlProps/ctrlProp53.xml><?xml version="1.0" encoding="utf-8"?>
<formControlPr xmlns="http://schemas.microsoft.com/office/spreadsheetml/2009/9/main" objectType="Drop" dropStyle="combo" dx="20" noThreeD="1" sel="0" val="0"/>
</file>

<file path=xl/ctrlProps/ctrlProp54.xml><?xml version="1.0" encoding="utf-8"?>
<formControlPr xmlns="http://schemas.microsoft.com/office/spreadsheetml/2009/9/main" objectType="Drop" dropStyle="combo" dx="20" noThreeD="1" sel="0" val="0"/>
</file>

<file path=xl/ctrlProps/ctrlProp55.xml><?xml version="1.0" encoding="utf-8"?>
<formControlPr xmlns="http://schemas.microsoft.com/office/spreadsheetml/2009/9/main" objectType="Drop" dropStyle="combo" dx="20" noThreeD="1" sel="0" val="0"/>
</file>

<file path=xl/ctrlProps/ctrlProp56.xml><?xml version="1.0" encoding="utf-8"?>
<formControlPr xmlns="http://schemas.microsoft.com/office/spreadsheetml/2009/9/main" objectType="Drop" dropStyle="combo" dx="20" noThreeD="1" sel="0" val="0"/>
</file>

<file path=xl/ctrlProps/ctrlProp57.xml><?xml version="1.0" encoding="utf-8"?>
<formControlPr xmlns="http://schemas.microsoft.com/office/spreadsheetml/2009/9/main" objectType="Drop" dropStyle="combo" dx="20" noThreeD="1" sel="0" val="0"/>
</file>

<file path=xl/ctrlProps/ctrlProp58.xml><?xml version="1.0" encoding="utf-8"?>
<formControlPr xmlns="http://schemas.microsoft.com/office/spreadsheetml/2009/9/main" objectType="Drop" dropStyle="combo" dx="20" noThreeD="1" sel="0" val="0"/>
</file>

<file path=xl/ctrlProps/ctrlProp59.xml><?xml version="1.0" encoding="utf-8"?>
<formControlPr xmlns="http://schemas.microsoft.com/office/spreadsheetml/2009/9/main" objectType="Drop" dropStyle="combo" dx="20" noThreeD="1" sel="0" val="0"/>
</file>

<file path=xl/ctrlProps/ctrlProp60.xml><?xml version="1.0" encoding="utf-8"?>
<formControlPr xmlns="http://schemas.microsoft.com/office/spreadsheetml/2009/9/main" objectType="Drop" dropStyle="combo" dx="20" noThreeD="1" sel="0" val="0"/>
</file>

<file path=xl/ctrlProps/ctrlProp61.xml><?xml version="1.0" encoding="utf-8"?>
<formControlPr xmlns="http://schemas.microsoft.com/office/spreadsheetml/2009/9/main" objectType="Drop" dropStyle="combo" dx="20" noThreeD="1" sel="0" val="0"/>
</file>

<file path=xl/ctrlProps/ctrlProp62.xml><?xml version="1.0" encoding="utf-8"?>
<formControlPr xmlns="http://schemas.microsoft.com/office/spreadsheetml/2009/9/main" objectType="Drop" dropStyle="combo" dx="20" noThreeD="1" sel="0" val="0"/>
</file>

<file path=xl/ctrlProps/ctrlProp63.xml><?xml version="1.0" encoding="utf-8"?>
<formControlPr xmlns="http://schemas.microsoft.com/office/spreadsheetml/2009/9/main" objectType="Drop" dropStyle="combo" dx="20" noThreeD="1" sel="0" val="0"/>
</file>

<file path=xl/ctrlProps/ctrlProp64.xml><?xml version="1.0" encoding="utf-8"?>
<formControlPr xmlns="http://schemas.microsoft.com/office/spreadsheetml/2009/9/main" objectType="Drop" dropStyle="combo" dx="20" noThreeD="1" sel="0" val="0"/>
</file>

<file path=xl/ctrlProps/ctrlProp65.xml><?xml version="1.0" encoding="utf-8"?>
<formControlPr xmlns="http://schemas.microsoft.com/office/spreadsheetml/2009/9/main" objectType="Drop" dropStyle="combo" dx="20" noThreeD="1" sel="0" val="0"/>
</file>

<file path=xl/ctrlProps/ctrlProp66.xml><?xml version="1.0" encoding="utf-8"?>
<formControlPr xmlns="http://schemas.microsoft.com/office/spreadsheetml/2009/9/main" objectType="Drop" dropStyle="combo" dx="20" noThreeD="1" sel="0" val="0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Drop" dropStyle="combo" dx="20" noThreeD="1" sel="0" val="0"/>
</file>

<file path=xl/ctrlProps/ctrlProp70.xml><?xml version="1.0" encoding="utf-8"?>
<formControlPr xmlns="http://schemas.microsoft.com/office/spreadsheetml/2009/9/main" objectType="Drop" dropStyle="combo" dx="20" noThreeD="1" sel="0" val="0"/>
</file>

<file path=xl/ctrlProps/ctrlProp71.xml><?xml version="1.0" encoding="utf-8"?>
<formControlPr xmlns="http://schemas.microsoft.com/office/spreadsheetml/2009/9/main" objectType="Drop" dropStyle="combo" dx="20" noThreeD="1" sel="0" val="0"/>
</file>

<file path=xl/ctrlProps/ctrlProp72.xml><?xml version="1.0" encoding="utf-8"?>
<formControlPr xmlns="http://schemas.microsoft.com/office/spreadsheetml/2009/9/main" objectType="Drop" dropStyle="combo" dx="20" noThreeD="1" sel="0" val="0"/>
</file>

<file path=xl/ctrlProps/ctrlProp73.xml><?xml version="1.0" encoding="utf-8"?>
<formControlPr xmlns="http://schemas.microsoft.com/office/spreadsheetml/2009/9/main" objectType="Drop" dropStyle="combo" dx="20" noThreeD="1" sel="0" val="0"/>
</file>

<file path=xl/ctrlProps/ctrlProp74.xml><?xml version="1.0" encoding="utf-8"?>
<formControlPr xmlns="http://schemas.microsoft.com/office/spreadsheetml/2009/9/main" objectType="Drop" dropStyle="combo" dx="20" noThreeD="1" sel="0" val="0"/>
</file>

<file path=xl/ctrlProps/ctrlProp75.xml><?xml version="1.0" encoding="utf-8"?>
<formControlPr xmlns="http://schemas.microsoft.com/office/spreadsheetml/2009/9/main" objectType="Drop" dropStyle="combo" dx="20" noThreeD="1" sel="0" val="0"/>
</file>

<file path=xl/ctrlProps/ctrlProp76.xml><?xml version="1.0" encoding="utf-8"?>
<formControlPr xmlns="http://schemas.microsoft.com/office/spreadsheetml/2009/9/main" objectType="Drop" dropStyle="combo" dx="20" noThreeD="1" sel="0" val="0"/>
</file>

<file path=xl/ctrlProps/ctrlProp77.xml><?xml version="1.0" encoding="utf-8"?>
<formControlPr xmlns="http://schemas.microsoft.com/office/spreadsheetml/2009/9/main" objectType="Drop" dropStyle="combo" dx="20" noThreeD="1" sel="0" val="0"/>
</file>

<file path=xl/ctrlProps/ctrlProp78.xml><?xml version="1.0" encoding="utf-8"?>
<formControlPr xmlns="http://schemas.microsoft.com/office/spreadsheetml/2009/9/main" objectType="Drop" dropStyle="combo" dx="20" noThreeD="1" sel="0" val="0"/>
</file>

<file path=xl/ctrlProps/ctrlProp79.xml><?xml version="1.0" encoding="utf-8"?>
<formControlPr xmlns="http://schemas.microsoft.com/office/spreadsheetml/2009/9/main" objectType="Drop" dropStyle="combo" dx="20" noThreeD="1" sel="0" val="0"/>
</file>

<file path=xl/ctrlProps/ctrlProp80.xml><?xml version="1.0" encoding="utf-8"?>
<formControlPr xmlns="http://schemas.microsoft.com/office/spreadsheetml/2009/9/main" objectType="Drop" dropStyle="combo" dx="20" noThreeD="1" sel="0" val="0"/>
</file>

<file path=xl/ctrlProps/ctrlProp81.xml><?xml version="1.0" encoding="utf-8"?>
<formControlPr xmlns="http://schemas.microsoft.com/office/spreadsheetml/2009/9/main" objectType="Button" lockText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Drop" dropStyle="combo" dx="20" noThreeD="1" sel="0" val="0"/>
</file>

<file path=xl/ctrlProps/ctrlProp84.xml><?xml version="1.0" encoding="utf-8"?>
<formControlPr xmlns="http://schemas.microsoft.com/office/spreadsheetml/2009/9/main" objectType="Drop" dropStyle="combo" dx="20" noThreeD="1" sel="0" val="0"/>
</file>

<file path=xl/ctrlProps/ctrlProp85.xml><?xml version="1.0" encoding="utf-8"?>
<formControlPr xmlns="http://schemas.microsoft.com/office/spreadsheetml/2009/9/main" objectType="Drop" dropStyle="combo" dx="20" noThreeD="1" sel="0" val="0"/>
</file>

<file path=xl/ctrlProps/ctrlProp86.xml><?xml version="1.0" encoding="utf-8"?>
<formControlPr xmlns="http://schemas.microsoft.com/office/spreadsheetml/2009/9/main" objectType="Drop" dropStyle="combo" dx="20" noThreeD="1" sel="0" val="0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Drop" dropStyle="combo" dx="20" noThreeD="1" sel="0" val="0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Button" lockText="1"/>
</file>

<file path=xl/ctrlProps/ctrlProp96.xml><?xml version="1.0" encoding="utf-8"?>
<formControlPr xmlns="http://schemas.microsoft.com/office/spreadsheetml/2009/9/main" objectType="Drop" dropStyle="combo" dx="20" noThreeD="1" sel="0" val="0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Button" lockText="1"/>
</file>

<file path=xl/ctrlProps/ctrlProp101.xml><?xml version="1.0" encoding="utf-8"?>
<formControlPr xmlns="http://schemas.microsoft.com/office/spreadsheetml/2009/9/main" objectType="Drop" dropStyle="combo" dx="20" noThreeD="1" sel="0" val="0"/>
</file>

<file path=xl/ctrlProps/ctrlProp102.xml><?xml version="1.0" encoding="utf-8"?>
<formControlPr xmlns="http://schemas.microsoft.com/office/spreadsheetml/2009/9/main" objectType="Drop" dropStyle="combo" dx="20" noThreeD="1" sel="0" val="0"/>
</file>

<file path=xl/ctrlProps/ctrlProp103.xml><?xml version="1.0" encoding="utf-8"?>
<formControlPr xmlns="http://schemas.microsoft.com/office/spreadsheetml/2009/9/main" objectType="Drop" dropStyle="combo" dx="20" noThreeD="1" sel="0" val="0"/>
</file>

<file path=xl/ctrlProps/ctrlProp104.xml><?xml version="1.0" encoding="utf-8"?>
<formControlPr xmlns="http://schemas.microsoft.com/office/spreadsheetml/2009/9/main" objectType="Drop" dropStyle="combo" dx="20" noThreeD="1" sel="0" val="0"/>
</file>

<file path=xl/ctrlProps/ctrlProp105.xml><?xml version="1.0" encoding="utf-8"?>
<formControlPr xmlns="http://schemas.microsoft.com/office/spreadsheetml/2009/9/main" objectType="Drop" dropStyle="combo" dx="20" noThreeD="1" sel="0" val="0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Drop" dropStyle="combo" dx="20" noThreeD="1" sel="0" val="0"/>
</file>

<file path=xl/ctrlProps/ctrlProp113.xml><?xml version="1.0" encoding="utf-8"?>
<formControlPr xmlns="http://schemas.microsoft.com/office/spreadsheetml/2009/9/main" objectType="Drop" dropStyle="combo" dx="20" noThreeD="1" sel="0" val="0"/>
</file>

<file path=xl/ctrlProps/ctrlProp114.xml><?xml version="1.0" encoding="utf-8"?>
<formControlPr xmlns="http://schemas.microsoft.com/office/spreadsheetml/2009/9/main" objectType="Drop" dropStyle="combo" dx="20" noThreeD="1" sel="0" val="0"/>
</file>

<file path=xl/ctrlProps/ctrlProp115.xml><?xml version="1.0" encoding="utf-8"?>
<formControlPr xmlns="http://schemas.microsoft.com/office/spreadsheetml/2009/9/main" objectType="Drop" dropStyle="combo" dx="20" noThreeD="1" sel="0" val="0"/>
</file>

<file path=xl/ctrlProps/ctrlProp116.xml><?xml version="1.0" encoding="utf-8"?>
<formControlPr xmlns="http://schemas.microsoft.com/office/spreadsheetml/2009/9/main" objectType="Drop" dropStyle="combo" dx="20" noThreeD="1" sel="0" val="0"/>
</file>

<file path=xl/ctrlProps/ctrlProp117.xml><?xml version="1.0" encoding="utf-8"?>
<formControlPr xmlns="http://schemas.microsoft.com/office/spreadsheetml/2009/9/main" objectType="Drop" dropStyle="combo" dx="20" noThreeD="1" sel="0" val="0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Drop" dropStyle="combo" dx="20" noThreeD="1" sel="0" val="0"/>
</file>

<file path=xl/ctrlProps/ctrlProp126.xml><?xml version="1.0" encoding="utf-8"?>
<formControlPr xmlns="http://schemas.microsoft.com/office/spreadsheetml/2009/9/main" objectType="Drop" dropStyle="combo" dx="20" noThreeD="1" sel="0" val="0"/>
</file>

<file path=xl/ctrlProps/ctrlProp127.xml><?xml version="1.0" encoding="utf-8"?>
<formControlPr xmlns="http://schemas.microsoft.com/office/spreadsheetml/2009/9/main" objectType="Drop" dropStyle="combo" dx="20" noThreeD="1" sel="0" val="0"/>
</file>

<file path=xl/ctrlProps/ctrlProp128.xml><?xml version="1.0" encoding="utf-8"?>
<formControlPr xmlns="http://schemas.microsoft.com/office/spreadsheetml/2009/9/main" objectType="Drop" dropStyle="combo" dx="20" noThreeD="1" sel="0" val="0"/>
</file>

<file path=xl/ctrlProps/ctrlProp129.xml><?xml version="1.0" encoding="utf-8"?>
<formControlPr xmlns="http://schemas.microsoft.com/office/spreadsheetml/2009/9/main" objectType="Drop" dropStyle="combo" dx="20" noThreeD="1" sel="0" val="0"/>
</file>

<file path=xl/ctrlProps/ctrlProp130.xml><?xml version="1.0" encoding="utf-8"?>
<formControlPr xmlns="http://schemas.microsoft.com/office/spreadsheetml/2009/9/main" objectType="Drop" dropStyle="combo" dx="20" noThreeD="1" sel="0" val="0"/>
</file>

<file path=xl/ctrlProps/ctrlProp131.xml><?xml version="1.0" encoding="utf-8"?>
<formControlPr xmlns="http://schemas.microsoft.com/office/spreadsheetml/2009/9/main" objectType="Drop" dropStyle="combo" dx="20" noThreeD="1" sel="0" val="0"/>
</file>

<file path=xl/ctrlProps/ctrlProp132.xml><?xml version="1.0" encoding="utf-8"?>
<formControlPr xmlns="http://schemas.microsoft.com/office/spreadsheetml/2009/9/main" objectType="Drop" dropStyle="combo" dx="20" noThreeD="1" sel="0" val="0"/>
</file>

<file path=xl/ctrlProps/ctrlProp133.xml><?xml version="1.0" encoding="utf-8"?>
<formControlPr xmlns="http://schemas.microsoft.com/office/spreadsheetml/2009/9/main" objectType="Drop" dropStyle="combo" dx="20" noThreeD="1" sel="0" val="0"/>
</file>

<file path=xl/ctrlProps/ctrlProp134.xml><?xml version="1.0" encoding="utf-8"?>
<formControlPr xmlns="http://schemas.microsoft.com/office/spreadsheetml/2009/9/main" objectType="Drop" dropStyle="combo" dx="20" noThreeD="1" sel="0" val="0"/>
</file>

<file path=xl/ctrlProps/ctrlProp135.xml><?xml version="1.0" encoding="utf-8"?>
<formControlPr xmlns="http://schemas.microsoft.com/office/spreadsheetml/2009/9/main" objectType="Drop" dropStyle="combo" dx="20" noThreeD="1" sel="0" val="0"/>
</file>

<file path=xl/ctrlProps/ctrlProp136.xml><?xml version="1.0" encoding="utf-8"?>
<formControlPr xmlns="http://schemas.microsoft.com/office/spreadsheetml/2009/9/main" objectType="Drop" dropStyle="combo" dx="20" noThreeD="1" sel="0" val="0"/>
</file>

<file path=xl/ctrlProps/ctrlProp137.xml><?xml version="1.0" encoding="utf-8"?>
<formControlPr xmlns="http://schemas.microsoft.com/office/spreadsheetml/2009/9/main" objectType="Drop" dropStyle="combo" dx="20" noThreeD="1" sel="0" val="0"/>
</file>

<file path=xl/ctrlProps/ctrlProp138.xml><?xml version="1.0" encoding="utf-8"?>
<formControlPr xmlns="http://schemas.microsoft.com/office/spreadsheetml/2009/9/main" objectType="Drop" dropStyle="combo" dx="20" noThreeD="1" sel="0" val="0"/>
</file>

<file path=xl/ctrlProps/ctrlProp139.xml><?xml version="1.0" encoding="utf-8"?>
<formControlPr xmlns="http://schemas.microsoft.com/office/spreadsheetml/2009/9/main" objectType="Drop" dropStyle="combo" dx="20" noThreeD="1" sel="0" val="0"/>
</file>

<file path=xl/ctrlProps/ctrlProp140.xml><?xml version="1.0" encoding="utf-8"?>
<formControlPr xmlns="http://schemas.microsoft.com/office/spreadsheetml/2009/9/main" objectType="Drop" dropStyle="combo" dx="20" noThreeD="1" sel="0" val="0"/>
</file>

<file path=xl/ctrlProps/ctrlProp141.xml><?xml version="1.0" encoding="utf-8"?>
<formControlPr xmlns="http://schemas.microsoft.com/office/spreadsheetml/2009/9/main" objectType="Drop" dropStyle="combo" dx="20" noThreeD="1" sel="0" val="0"/>
</file>

<file path=xl/ctrlProps/ctrlProp142.xml><?xml version="1.0" encoding="utf-8"?>
<formControlPr xmlns="http://schemas.microsoft.com/office/spreadsheetml/2009/9/main" objectType="Drop" dropStyle="combo" dx="20" noThreeD="1" sel="0" val="0"/>
</file>

<file path=xl/ctrlProps/ctrlProp143.xml><?xml version="1.0" encoding="utf-8"?>
<formControlPr xmlns="http://schemas.microsoft.com/office/spreadsheetml/2009/9/main" objectType="Drop" dropStyle="combo" dx="20" noThreeD="1" sel="0" val="0"/>
</file>

<file path=xl/ctrlProps/ctrlProp144.xml><?xml version="1.0" encoding="utf-8"?>
<formControlPr xmlns="http://schemas.microsoft.com/office/spreadsheetml/2009/9/main" objectType="Drop" dropStyle="combo" dx="20" noThreeD="1" sel="0" val="0"/>
</file>

<file path=xl/ctrlProps/ctrlProp145.xml><?xml version="1.0" encoding="utf-8"?>
<formControlPr xmlns="http://schemas.microsoft.com/office/spreadsheetml/2009/9/main" objectType="Drop" dropStyle="combo" dx="20" noThreeD="1" sel="0" val="0"/>
</file>

<file path=xl/ctrlProps/ctrlProp146.xml><?xml version="1.0" encoding="utf-8"?>
<formControlPr xmlns="http://schemas.microsoft.com/office/spreadsheetml/2009/9/main" objectType="Drop" dropStyle="combo" dx="20" noThreeD="1" sel="0" val="0"/>
</file>

<file path=xl/ctrlProps/ctrlProp147.xml><?xml version="1.0" encoding="utf-8"?>
<formControlPr xmlns="http://schemas.microsoft.com/office/spreadsheetml/2009/9/main" objectType="Drop" dropStyle="combo" dx="20" noThreeD="1" sel="0" val="0"/>
</file>

<file path=xl/ctrlProps/ctrlProp148.xml><?xml version="1.0" encoding="utf-8"?>
<formControlPr xmlns="http://schemas.microsoft.com/office/spreadsheetml/2009/9/main" objectType="Drop" dropStyle="combo" dx="20" noThreeD="1" sel="0" val="0"/>
</file>

<file path=xl/ctrlProps/ctrlProp149.xml><?xml version="1.0" encoding="utf-8"?>
<formControlPr xmlns="http://schemas.microsoft.com/office/spreadsheetml/2009/9/main" objectType="Drop" dropStyle="combo" dx="20" noThreeD="1" sel="0" val="0"/>
</file>

<file path=xl/ctrlProps/ctrlProp150.xml><?xml version="1.0" encoding="utf-8"?>
<formControlPr xmlns="http://schemas.microsoft.com/office/spreadsheetml/2009/9/main" objectType="Drop" dropStyle="combo" dx="20" noThreeD="1" sel="0" val="0"/>
</file>

<file path=xl/ctrlProps/ctrlProp151.xml><?xml version="1.0" encoding="utf-8"?>
<formControlPr xmlns="http://schemas.microsoft.com/office/spreadsheetml/2009/9/main" objectType="Drop" dropStyle="combo" dx="20" noThreeD="1" sel="0" val="0"/>
</file>

<file path=xl/ctrlProps/ctrlProp152.xml><?xml version="1.0" encoding="utf-8"?>
<formControlPr xmlns="http://schemas.microsoft.com/office/spreadsheetml/2009/9/main" objectType="Drop" dropStyle="combo" dx="20" noThreeD="1" sel="0" val="0"/>
</file>

<file path=xl/ctrlProps/ctrlProp153.xml><?xml version="1.0" encoding="utf-8"?>
<formControlPr xmlns="http://schemas.microsoft.com/office/spreadsheetml/2009/9/main" objectType="Drop" dropStyle="combo" dx="20" noThreeD="1" sel="0" val="0"/>
</file>

<file path=xl/ctrlProps/ctrlProp154.xml><?xml version="1.0" encoding="utf-8"?>
<formControlPr xmlns="http://schemas.microsoft.com/office/spreadsheetml/2009/9/main" objectType="Drop" dropStyle="combo" dx="20" noThreeD="1" sel="0" val="0"/>
</file>

<file path=xl/ctrlProps/ctrlProp155.xml><?xml version="1.0" encoding="utf-8"?>
<formControlPr xmlns="http://schemas.microsoft.com/office/spreadsheetml/2009/9/main" objectType="Drop" dropStyle="combo" dx="20" noThreeD="1" sel="0" val="0"/>
</file>

<file path=xl/ctrlProps/ctrlProp156.xml><?xml version="1.0" encoding="utf-8"?>
<formControlPr xmlns="http://schemas.microsoft.com/office/spreadsheetml/2009/9/main" objectType="Drop" dropStyle="combo" dx="20" noThreeD="1" sel="0" val="0"/>
</file>

<file path=xl/ctrlProps/ctrlProp157.xml><?xml version="1.0" encoding="utf-8"?>
<formControlPr xmlns="http://schemas.microsoft.com/office/spreadsheetml/2009/9/main" objectType="Drop" dropStyle="combo" dx="20" noThreeD="1" sel="0" val="0"/>
</file>

<file path=xl/ctrlProps/ctrlProp158.xml><?xml version="1.0" encoding="utf-8"?>
<formControlPr xmlns="http://schemas.microsoft.com/office/spreadsheetml/2009/9/main" objectType="Drop" dropStyle="combo" dx="20" noThreeD="1" sel="0" val="0"/>
</file>

<file path=xl/ctrlProps/ctrlProp159.xml><?xml version="1.0" encoding="utf-8"?>
<formControlPr xmlns="http://schemas.microsoft.com/office/spreadsheetml/2009/9/main" objectType="Drop" dropStyle="combo" dx="20" noThreeD="1" sel="0" val="0"/>
</file>

<file path=xl/ctrlProps/ctrlProp160.xml><?xml version="1.0" encoding="utf-8"?>
<formControlPr xmlns="http://schemas.microsoft.com/office/spreadsheetml/2009/9/main" objectType="Drop" dropStyle="combo" dx="20" noThreeD="1" sel="0" val="0"/>
</file>

<file path=xl/ctrlProps/ctrlProp161.xml><?xml version="1.0" encoding="utf-8"?>
<formControlPr xmlns="http://schemas.microsoft.com/office/spreadsheetml/2009/9/main" objectType="Drop" dropStyle="combo" dx="20" noThreeD="1" sel="0" val="0"/>
</file>

<file path=xl/ctrlProps/ctrlProp162.xml><?xml version="1.0" encoding="utf-8"?>
<formControlPr xmlns="http://schemas.microsoft.com/office/spreadsheetml/2009/9/main" objectType="Button" lockText="1"/>
</file>

<file path=xl/ctrlProps/ctrlProp163.xml><?xml version="1.0" encoding="utf-8"?>
<formControlPr xmlns="http://schemas.microsoft.com/office/spreadsheetml/2009/9/main" objectType="Drop" dropStyle="combo" dx="20" noThreeD="1" sel="0" val="0"/>
</file>

<file path=xl/ctrlProps/ctrlProp164.xml><?xml version="1.0" encoding="utf-8"?>
<formControlPr xmlns="http://schemas.microsoft.com/office/spreadsheetml/2009/9/main" objectType="Drop" dropStyle="combo" dx="20" noThreeD="1" sel="0" val="0"/>
</file>

<file path=xl/ctrlProps/ctrlProp165.xml><?xml version="1.0" encoding="utf-8"?>
<formControlPr xmlns="http://schemas.microsoft.com/office/spreadsheetml/2009/9/main" objectType="Drop" dropStyle="combo" dx="20" noThreeD="1" sel="0" val="0"/>
</file>

<file path=xl/ctrlProps/ctrlProp166.xml><?xml version="1.0" encoding="utf-8"?>
<formControlPr xmlns="http://schemas.microsoft.com/office/spreadsheetml/2009/9/main" objectType="Drop" dropStyle="combo" dx="20" noThreeD="1" sel="0" val="0"/>
</file>

<file path=xl/ctrlProps/ctrlProp167.xml><?xml version="1.0" encoding="utf-8"?>
<formControlPr xmlns="http://schemas.microsoft.com/office/spreadsheetml/2009/9/main" objectType="Drop" dropStyle="combo" dx="20" noThreeD="1" sel="0" val="0"/>
</file>

<file path=xl/ctrlProps/ctrlProp168.xml><?xml version="1.0" encoding="utf-8"?>
<formControlPr xmlns="http://schemas.microsoft.com/office/spreadsheetml/2009/9/main" objectType="Drop" dropStyle="combo" dx="20" noThreeD="1" sel="0" val="0"/>
</file>

<file path=xl/ctrlProps/ctrlProp169.xml><?xml version="1.0" encoding="utf-8"?>
<formControlPr xmlns="http://schemas.microsoft.com/office/spreadsheetml/2009/9/main" objectType="Drop" dropStyle="combo" dx="20" noThreeD="1" sel="0" val="0"/>
</file>

<file path=xl/ctrlProps/ctrlProp170.xml><?xml version="1.0" encoding="utf-8"?>
<formControlPr xmlns="http://schemas.microsoft.com/office/spreadsheetml/2009/9/main" objectType="Drop" dropStyle="combo" dx="20" noThreeD="1" sel="0" val="0"/>
</file>

<file path=xl/ctrlProps/ctrlProp171.xml><?xml version="1.0" encoding="utf-8"?>
<formControlPr xmlns="http://schemas.microsoft.com/office/spreadsheetml/2009/9/main" objectType="Drop" dropStyle="combo" dx="20" noThreeD="1" sel="0" val="0"/>
</file>

<file path=xl/ctrlProps/ctrlProp172.xml><?xml version="1.0" encoding="utf-8"?>
<formControlPr xmlns="http://schemas.microsoft.com/office/spreadsheetml/2009/9/main" objectType="Drop" dropStyle="combo" dx="20" noThreeD="1" sel="0" val="0"/>
</file>

<file path=xl/ctrlProps/ctrlProp173.xml><?xml version="1.0" encoding="utf-8"?>
<formControlPr xmlns="http://schemas.microsoft.com/office/spreadsheetml/2009/9/main" objectType="Drop" dropStyle="combo" dx="20" noThreeD="1" sel="0" val="0"/>
</file>

<file path=xl/ctrlProps/ctrlProp174.xml><?xml version="1.0" encoding="utf-8"?>
<formControlPr xmlns="http://schemas.microsoft.com/office/spreadsheetml/2009/9/main" objectType="Button" lockText="1"/>
</file>

<file path=xl/ctrlProps/ctrlProp175.xml><?xml version="1.0" encoding="utf-8"?>
<formControlPr xmlns="http://schemas.microsoft.com/office/spreadsheetml/2009/9/main" objectType="Button" lockText="1"/>
</file>

<file path=xl/ctrlProps/ctrlProp176.xml><?xml version="1.0" encoding="utf-8"?>
<formControlPr xmlns="http://schemas.microsoft.com/office/spreadsheetml/2009/9/main" objectType="Drop" dropStyle="combo" dx="20" noThreeD="1" sel="0" val="0"/>
</file>

<file path=xl/ctrlProps/ctrlProp177.xml><?xml version="1.0" encoding="utf-8"?>
<formControlPr xmlns="http://schemas.microsoft.com/office/spreadsheetml/2009/9/main" objectType="Drop" dropStyle="combo" dx="20" noThreeD="1" sel="0" val="0"/>
</file>

<file path=xl/ctrlProps/ctrlProp178.xml><?xml version="1.0" encoding="utf-8"?>
<formControlPr xmlns="http://schemas.microsoft.com/office/spreadsheetml/2009/9/main" objectType="Button" lockText="1"/>
</file>

<file path=xl/ctrlProps/ctrlProp179.xml><?xml version="1.0" encoding="utf-8"?>
<formControlPr xmlns="http://schemas.microsoft.com/office/spreadsheetml/2009/9/main" objectType="Drop" dropStyle="combo" dx="20" noThreeD="1" sel="0" val="0"/>
</file>

<file path=xl/ctrlProps/ctrlProp180.xml><?xml version="1.0" encoding="utf-8"?>
<formControlPr xmlns="http://schemas.microsoft.com/office/spreadsheetml/2009/9/main" objectType="Drop" dropStyle="combo" dx="20" noThreeD="1" sel="0" val="0"/>
</file>

<file path=xl/ctrlProps/ctrlProp181.xml><?xml version="1.0" encoding="utf-8"?>
<formControlPr xmlns="http://schemas.microsoft.com/office/spreadsheetml/2009/9/main" objectType="Drop" dropStyle="combo" dx="20" noThreeD="1" sel="0" val="0"/>
</file>

<file path=xl/ctrlProps/ctrlProp182.xml><?xml version="1.0" encoding="utf-8"?>
<formControlPr xmlns="http://schemas.microsoft.com/office/spreadsheetml/2009/9/main" objectType="Drop" dropStyle="combo" dx="20" noThreeD="1" sel="0" val="0"/>
</file>

<file path=xl/ctrlProps/ctrlProp183.xml><?xml version="1.0" encoding="utf-8"?>
<formControlPr xmlns="http://schemas.microsoft.com/office/spreadsheetml/2009/9/main" objectType="Drop" dropStyle="combo" dx="20" noThreeD="1" sel="0" val="0"/>
</file>

<file path=xl/ctrlProps/ctrlProp184.xml><?xml version="1.0" encoding="utf-8"?>
<formControlPr xmlns="http://schemas.microsoft.com/office/spreadsheetml/2009/9/main" objectType="Button" lockText="1"/>
</file>

<file path=xl/ctrlProps/ctrlProp185.xml><?xml version="1.0" encoding="utf-8"?>
<formControlPr xmlns="http://schemas.microsoft.com/office/spreadsheetml/2009/9/main" objectType="Drop" dropStyle="combo" dx="20" noThreeD="1" sel="0" val="0"/>
</file>

<file path=xl/ctrlProps/ctrlProp186.xml><?xml version="1.0" encoding="utf-8"?>
<formControlPr xmlns="http://schemas.microsoft.com/office/spreadsheetml/2009/9/main" objectType="Drop" dropStyle="combo" dx="20" noThreeD="1" sel="0" val="0"/>
</file>

<file path=xl/ctrlProps/ctrlProp187.xml><?xml version="1.0" encoding="utf-8"?>
<formControlPr xmlns="http://schemas.microsoft.com/office/spreadsheetml/2009/9/main" objectType="Drop" dropStyle="combo" dx="20" noThreeD="1" sel="0" val="0"/>
</file>

<file path=xl/ctrlProps/ctrlProp188.xml><?xml version="1.0" encoding="utf-8"?>
<formControlPr xmlns="http://schemas.microsoft.com/office/spreadsheetml/2009/9/main" objectType="Button" lockText="1"/>
</file>

<file path=xl/ctrlProps/ctrlProp189.xml><?xml version="1.0" encoding="utf-8"?>
<formControlPr xmlns="http://schemas.microsoft.com/office/spreadsheetml/2009/9/main" objectType="Drop" dropStyle="combo" dx="20" noThreeD="1" sel="0" val="0"/>
</file>

<file path=xl/ctrlProps/ctrlProp190.xml><?xml version="1.0" encoding="utf-8"?>
<formControlPr xmlns="http://schemas.microsoft.com/office/spreadsheetml/2009/9/main" objectType="Button" lockText="1"/>
</file>

<file path=xl/ctrlProps/ctrlProp191.xml><?xml version="1.0" encoding="utf-8"?>
<formControlPr xmlns="http://schemas.microsoft.com/office/spreadsheetml/2009/9/main" objectType="Drop" dropStyle="combo" dx="20" noThreeD="1" sel="0" val="0"/>
</file>

<file path=xl/ctrlProps/ctrlProp192.xml><?xml version="1.0" encoding="utf-8"?>
<formControlPr xmlns="http://schemas.microsoft.com/office/spreadsheetml/2009/9/main" objectType="Drop" dropStyle="combo" dx="20" noThreeD="1" sel="0" val="0"/>
</file>

<file path=xl/ctrlProps/ctrlProp193.xml><?xml version="1.0" encoding="utf-8"?>
<formControlPr xmlns="http://schemas.microsoft.com/office/spreadsheetml/2009/9/main" objectType="Drop" dropStyle="combo" dx="20" noThreeD="1" sel="0" val="0"/>
</file>

<file path=xl/ctrlProps/ctrlProp194.xml><?xml version="1.0" encoding="utf-8"?>
<formControlPr xmlns="http://schemas.microsoft.com/office/spreadsheetml/2009/9/main" objectType="Drop" dropStyle="combo" dx="20" noThreeD="1" sel="0" val="0"/>
</file>

<file path=xl/ctrlProps/ctrlProp195.xml><?xml version="1.0" encoding="utf-8"?>
<formControlPr xmlns="http://schemas.microsoft.com/office/spreadsheetml/2009/9/main" objectType="Drop" dropStyle="combo" dx="20" noThreeD="1" sel="0" val="0"/>
</file>

<file path=xl/ctrlProps/ctrlProp196.xml><?xml version="1.0" encoding="utf-8"?>
<formControlPr xmlns="http://schemas.microsoft.com/office/spreadsheetml/2009/9/main" objectType="Button" lockText="1"/>
</file>

<file path=xl/ctrlProps/ctrlProp197.xml><?xml version="1.0" encoding="utf-8"?>
<formControlPr xmlns="http://schemas.microsoft.com/office/spreadsheetml/2009/9/main" objectType="Button" lockText="1"/>
</file>

<file path=xl/ctrlProps/ctrlProp198.xml><?xml version="1.0" encoding="utf-8"?>
<formControlPr xmlns="http://schemas.microsoft.com/office/spreadsheetml/2009/9/main" objectType="Drop" dropStyle="combo" dx="20" noThreeD="1" sel="0" val="0"/>
</file>

<file path=xl/ctrlProps/ctrlProp199.xml><?xml version="1.0" encoding="utf-8"?>
<formControlPr xmlns="http://schemas.microsoft.com/office/spreadsheetml/2009/9/main" objectType="Button" lockText="1"/>
</file>

<file path=xl/ctrlProps/ctrlProp200.xml><?xml version="1.0" encoding="utf-8"?>
<formControlPr xmlns="http://schemas.microsoft.com/office/spreadsheetml/2009/9/main" objectType="Button" lockText="1"/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1</xdr:row>
      <xdr:rowOff>91440</xdr:rowOff>
    </xdr:from>
    <xdr:to>
      <xdr:col>7</xdr:col>
      <xdr:colOff>236220</xdr:colOff>
      <xdr:row>1</xdr:row>
      <xdr:rowOff>144780</xdr:rowOff>
    </xdr:to>
    <xdr:sp macro="" textlink="">
      <xdr:nvSpPr>
        <xdr:cNvPr id="2" name="Right Arrow 1"/>
        <xdr:cNvSpPr/>
      </xdr:nvSpPr>
      <xdr:spPr>
        <a:xfrm>
          <a:off x="4693920" y="274320"/>
          <a:ext cx="213360" cy="533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60960</xdr:colOff>
      <xdr:row>1</xdr:row>
      <xdr:rowOff>83820</xdr:rowOff>
    </xdr:from>
    <xdr:to>
      <xdr:col>9</xdr:col>
      <xdr:colOff>274320</xdr:colOff>
      <xdr:row>1</xdr:row>
      <xdr:rowOff>137160</xdr:rowOff>
    </xdr:to>
    <xdr:sp macro="" textlink="">
      <xdr:nvSpPr>
        <xdr:cNvPr id="3" name="Right Arrow 2"/>
        <xdr:cNvSpPr/>
      </xdr:nvSpPr>
      <xdr:spPr>
        <a:xfrm>
          <a:off x="6324600" y="266700"/>
          <a:ext cx="213360" cy="533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30480</xdr:colOff>
      <xdr:row>1</xdr:row>
      <xdr:rowOff>83820</xdr:rowOff>
    </xdr:from>
    <xdr:to>
      <xdr:col>11</xdr:col>
      <xdr:colOff>243840</xdr:colOff>
      <xdr:row>1</xdr:row>
      <xdr:rowOff>137160</xdr:rowOff>
    </xdr:to>
    <xdr:sp macro="" textlink="">
      <xdr:nvSpPr>
        <xdr:cNvPr id="4" name="Right Arrow 3"/>
        <xdr:cNvSpPr/>
      </xdr:nvSpPr>
      <xdr:spPr>
        <a:xfrm>
          <a:off x="7711440" y="266700"/>
          <a:ext cx="213360" cy="533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259080</xdr:colOff>
      <xdr:row>8</xdr:row>
      <xdr:rowOff>137160</xdr:rowOff>
    </xdr:from>
    <xdr:to>
      <xdr:col>5</xdr:col>
      <xdr:colOff>289560</xdr:colOff>
      <xdr:row>24</xdr:row>
      <xdr:rowOff>15240</xdr:rowOff>
    </xdr:to>
    <xdr:cxnSp macro="">
      <xdr:nvCxnSpPr>
        <xdr:cNvPr id="6" name="Straight Arrow Connector 5"/>
        <xdr:cNvCxnSpPr/>
      </xdr:nvCxnSpPr>
      <xdr:spPr>
        <a:xfrm>
          <a:off x="3779520" y="1600200"/>
          <a:ext cx="30480" cy="2804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716280</xdr:colOff>
      <xdr:row>4</xdr:row>
      <xdr:rowOff>121920</xdr:rowOff>
    </xdr:from>
    <xdr:to>
      <xdr:col>8</xdr:col>
      <xdr:colOff>838200</xdr:colOff>
      <xdr:row>27</xdr:row>
      <xdr:rowOff>7620</xdr:rowOff>
    </xdr:to>
    <xdr:cxnSp macro="">
      <xdr:nvCxnSpPr>
        <xdr:cNvPr id="8" name="Straight Arrow Connector 7"/>
        <xdr:cNvCxnSpPr/>
      </xdr:nvCxnSpPr>
      <xdr:spPr>
        <a:xfrm>
          <a:off x="5699760" y="853440"/>
          <a:ext cx="121920" cy="3177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</xdr:colOff>
          <xdr:row>4</xdr:row>
          <xdr:rowOff>7620</xdr:rowOff>
        </xdr:from>
        <xdr:to>
          <xdr:col>1</xdr:col>
          <xdr:colOff>1104900</xdr:colOff>
          <xdr:row>5</xdr:row>
          <xdr:rowOff>7620</xdr:rowOff>
        </xdr:to>
        <xdr:sp macro="" textlink="">
          <xdr:nvSpPr>
            <xdr:cNvPr id="493575" name="Drop Down 7" hidden="1">
              <a:extLst>
                <a:ext uri="{63B3BB69-23CF-44E3-9099-C40C66FF867C}">
                  <a14:compatExt spid="_x0000_s4935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4</xdr:row>
          <xdr:rowOff>0</xdr:rowOff>
        </xdr:from>
        <xdr:to>
          <xdr:col>2</xdr:col>
          <xdr:colOff>1036320</xdr:colOff>
          <xdr:row>5</xdr:row>
          <xdr:rowOff>15240</xdr:rowOff>
        </xdr:to>
        <xdr:sp macro="" textlink="">
          <xdr:nvSpPr>
            <xdr:cNvPr id="493576" name="Drop Down 8" hidden="1">
              <a:extLst>
                <a:ext uri="{63B3BB69-23CF-44E3-9099-C40C66FF867C}">
                  <a14:compatExt spid="_x0000_s4935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</xdr:row>
          <xdr:rowOff>167640</xdr:rowOff>
        </xdr:from>
        <xdr:to>
          <xdr:col>4</xdr:col>
          <xdr:colOff>0</xdr:colOff>
          <xdr:row>5</xdr:row>
          <xdr:rowOff>0</xdr:rowOff>
        </xdr:to>
        <xdr:sp macro="" textlink="">
          <xdr:nvSpPr>
            <xdr:cNvPr id="493577" name="Drop Down 9" hidden="1">
              <a:extLst>
                <a:ext uri="{63B3BB69-23CF-44E3-9099-C40C66FF867C}">
                  <a14:compatExt spid="_x0000_s4935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</xdr:colOff>
          <xdr:row>4</xdr:row>
          <xdr:rowOff>0</xdr:rowOff>
        </xdr:from>
        <xdr:to>
          <xdr:col>4</xdr:col>
          <xdr:colOff>1089660</xdr:colOff>
          <xdr:row>5</xdr:row>
          <xdr:rowOff>7620</xdr:rowOff>
        </xdr:to>
        <xdr:sp macro="" textlink="">
          <xdr:nvSpPr>
            <xdr:cNvPr id="493578" name="Drop Down 10" hidden="1">
              <a:extLst>
                <a:ext uri="{63B3BB69-23CF-44E3-9099-C40C66FF867C}">
                  <a14:compatExt spid="_x0000_s4935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8</xdr:row>
          <xdr:rowOff>0</xdr:rowOff>
        </xdr:from>
        <xdr:to>
          <xdr:col>6</xdr:col>
          <xdr:colOff>586740</xdr:colOff>
          <xdr:row>8</xdr:row>
          <xdr:rowOff>167640</xdr:rowOff>
        </xdr:to>
        <xdr:sp macro="" textlink="">
          <xdr:nvSpPr>
            <xdr:cNvPr id="493579" name="Drop Down 11" hidden="1">
              <a:extLst>
                <a:ext uri="{63B3BB69-23CF-44E3-9099-C40C66FF867C}">
                  <a14:compatExt spid="_x0000_s4935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</xdr:colOff>
          <xdr:row>7</xdr:row>
          <xdr:rowOff>175260</xdr:rowOff>
        </xdr:from>
        <xdr:to>
          <xdr:col>4</xdr:col>
          <xdr:colOff>1036320</xdr:colOff>
          <xdr:row>9</xdr:row>
          <xdr:rowOff>7620</xdr:rowOff>
        </xdr:to>
        <xdr:sp macro="" textlink="">
          <xdr:nvSpPr>
            <xdr:cNvPr id="493580" name="Drop Down 12" hidden="1">
              <a:extLst>
                <a:ext uri="{63B3BB69-23CF-44E3-9099-C40C66FF867C}">
                  <a14:compatExt spid="_x0000_s4935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</xdr:colOff>
          <xdr:row>8</xdr:row>
          <xdr:rowOff>7620</xdr:rowOff>
        </xdr:from>
        <xdr:to>
          <xdr:col>2</xdr:col>
          <xdr:colOff>1021080</xdr:colOff>
          <xdr:row>9</xdr:row>
          <xdr:rowOff>0</xdr:rowOff>
        </xdr:to>
        <xdr:sp macro="" textlink="">
          <xdr:nvSpPr>
            <xdr:cNvPr id="493581" name="Drop Down 13" hidden="1">
              <a:extLst>
                <a:ext uri="{63B3BB69-23CF-44E3-9099-C40C66FF867C}">
                  <a14:compatExt spid="_x0000_s4935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22860</xdr:colOff>
      <xdr:row>4</xdr:row>
      <xdr:rowOff>83820</xdr:rowOff>
    </xdr:from>
    <xdr:to>
      <xdr:col>6</xdr:col>
      <xdr:colOff>586740</xdr:colOff>
      <xdr:row>4</xdr:row>
      <xdr:rowOff>99060</xdr:rowOff>
    </xdr:to>
    <xdr:cxnSp macro="">
      <xdr:nvCxnSpPr>
        <xdr:cNvPr id="3" name="Straight Arrow Connector 2"/>
        <xdr:cNvCxnSpPr/>
      </xdr:nvCxnSpPr>
      <xdr:spPr>
        <a:xfrm flipV="1">
          <a:off x="5052060" y="815340"/>
          <a:ext cx="117348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60960</xdr:colOff>
          <xdr:row>8</xdr:row>
          <xdr:rowOff>15240</xdr:rowOff>
        </xdr:from>
        <xdr:to>
          <xdr:col>3</xdr:col>
          <xdr:colOff>1066800</xdr:colOff>
          <xdr:row>9</xdr:row>
          <xdr:rowOff>30480</xdr:rowOff>
        </xdr:to>
        <xdr:sp macro="" textlink="">
          <xdr:nvSpPr>
            <xdr:cNvPr id="493582" name="Drop Down 14" hidden="1">
              <a:extLst>
                <a:ext uri="{63B3BB69-23CF-44E3-9099-C40C66FF867C}">
                  <a14:compatExt spid="_x0000_s4935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30480</xdr:rowOff>
        </xdr:from>
        <xdr:to>
          <xdr:col>1</xdr:col>
          <xdr:colOff>876300</xdr:colOff>
          <xdr:row>5</xdr:row>
          <xdr:rowOff>22860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4</xdr:row>
          <xdr:rowOff>38100</xdr:rowOff>
        </xdr:from>
        <xdr:to>
          <xdr:col>2</xdr:col>
          <xdr:colOff>891540</xdr:colOff>
          <xdr:row>5</xdr:row>
          <xdr:rowOff>30480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30480</xdr:rowOff>
        </xdr:from>
        <xdr:to>
          <xdr:col>3</xdr:col>
          <xdr:colOff>883920</xdr:colOff>
          <xdr:row>5</xdr:row>
          <xdr:rowOff>22860</xdr:rowOff>
        </xdr:to>
        <xdr:sp macro="" textlink="">
          <xdr:nvSpPr>
            <xdr:cNvPr id="2051" name="Drop Down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</xdr:row>
          <xdr:rowOff>22860</xdr:rowOff>
        </xdr:from>
        <xdr:to>
          <xdr:col>10</xdr:col>
          <xdr:colOff>899160</xdr:colOff>
          <xdr:row>5</xdr:row>
          <xdr:rowOff>15240</xdr:rowOff>
        </xdr:to>
        <xdr:sp macro="" textlink="">
          <xdr:nvSpPr>
            <xdr:cNvPr id="2052" name="Drop Down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22860</xdr:colOff>
          <xdr:row>4</xdr:row>
          <xdr:rowOff>30480</xdr:rowOff>
        </xdr:from>
        <xdr:to>
          <xdr:col>13</xdr:col>
          <xdr:colOff>30480</xdr:colOff>
          <xdr:row>5</xdr:row>
          <xdr:rowOff>15240</xdr:rowOff>
        </xdr:to>
        <xdr:sp macro="" textlink="">
          <xdr:nvSpPr>
            <xdr:cNvPr id="2053" name="Drop Down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30480</xdr:rowOff>
        </xdr:from>
        <xdr:to>
          <xdr:col>4</xdr:col>
          <xdr:colOff>883920</xdr:colOff>
          <xdr:row>5</xdr:row>
          <xdr:rowOff>22860</xdr:rowOff>
        </xdr:to>
        <xdr:sp macro="" textlink="">
          <xdr:nvSpPr>
            <xdr:cNvPr id="2054" name="Drop Down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12</xdr:col>
      <xdr:colOff>1417320</xdr:colOff>
      <xdr:row>2</xdr:row>
      <xdr:rowOff>114300</xdr:rowOff>
    </xdr:from>
    <xdr:to>
      <xdr:col>14</xdr:col>
      <xdr:colOff>480060</xdr:colOff>
      <xdr:row>3</xdr:row>
      <xdr:rowOff>137160</xdr:rowOff>
    </xdr:to>
    <xdr:cxnSp macro="">
      <xdr:nvCxnSpPr>
        <xdr:cNvPr id="3" name="Straight Arrow Connector 2"/>
        <xdr:cNvCxnSpPr/>
      </xdr:nvCxnSpPr>
      <xdr:spPr>
        <a:xfrm flipV="1">
          <a:off x="11681460" y="480060"/>
          <a:ext cx="883920" cy="2057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609600</xdr:colOff>
      <xdr:row>5</xdr:row>
      <xdr:rowOff>60960</xdr:rowOff>
    </xdr:from>
    <xdr:to>
      <xdr:col>6</xdr:col>
      <xdr:colOff>60960</xdr:colOff>
      <xdr:row>13</xdr:row>
      <xdr:rowOff>167640</xdr:rowOff>
    </xdr:to>
    <xdr:cxnSp macro="">
      <xdr:nvCxnSpPr>
        <xdr:cNvPr id="4" name="Straight Arrow Connector 3"/>
        <xdr:cNvCxnSpPr/>
      </xdr:nvCxnSpPr>
      <xdr:spPr>
        <a:xfrm>
          <a:off x="4023360" y="975360"/>
          <a:ext cx="975360" cy="1569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30480</xdr:rowOff>
        </xdr:from>
        <xdr:to>
          <xdr:col>1</xdr:col>
          <xdr:colOff>876300</xdr:colOff>
          <xdr:row>5</xdr:row>
          <xdr:rowOff>22860</xdr:rowOff>
        </xdr:to>
        <xdr:sp macro="" textlink="">
          <xdr:nvSpPr>
            <xdr:cNvPr id="6145" name="Drop Down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4</xdr:row>
          <xdr:rowOff>38100</xdr:rowOff>
        </xdr:from>
        <xdr:to>
          <xdr:col>2</xdr:col>
          <xdr:colOff>891540</xdr:colOff>
          <xdr:row>5</xdr:row>
          <xdr:rowOff>30480</xdr:rowOff>
        </xdr:to>
        <xdr:sp macro="" textlink="">
          <xdr:nvSpPr>
            <xdr:cNvPr id="6146" name="Drop Down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30480</xdr:rowOff>
        </xdr:from>
        <xdr:to>
          <xdr:col>3</xdr:col>
          <xdr:colOff>883920</xdr:colOff>
          <xdr:row>5</xdr:row>
          <xdr:rowOff>22860</xdr:rowOff>
        </xdr:to>
        <xdr:sp macro="" textlink="">
          <xdr:nvSpPr>
            <xdr:cNvPr id="6147" name="Drop Down 3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30480</xdr:rowOff>
        </xdr:from>
        <xdr:to>
          <xdr:col>4</xdr:col>
          <xdr:colOff>883920</xdr:colOff>
          <xdr:row>5</xdr:row>
          <xdr:rowOff>22860</xdr:rowOff>
        </xdr:to>
        <xdr:sp macro="" textlink="">
          <xdr:nvSpPr>
            <xdr:cNvPr id="6150" name="Drop Down 6" hidden="1">
              <a:extLst>
                <a:ext uri="{63B3BB69-23CF-44E3-9099-C40C66FF867C}">
                  <a14:compatExt spid="_x0000_s61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792480</xdr:colOff>
      <xdr:row>3</xdr:row>
      <xdr:rowOff>38100</xdr:rowOff>
    </xdr:from>
    <xdr:to>
      <xdr:col>5</xdr:col>
      <xdr:colOff>457200</xdr:colOff>
      <xdr:row>3</xdr:row>
      <xdr:rowOff>160020</xdr:rowOff>
    </xdr:to>
    <xdr:cxnSp macro="">
      <xdr:nvCxnSpPr>
        <xdr:cNvPr id="3" name="Straight Arrow Connector 2"/>
        <xdr:cNvCxnSpPr/>
      </xdr:nvCxnSpPr>
      <xdr:spPr>
        <a:xfrm flipV="1">
          <a:off x="2369820" y="586740"/>
          <a:ext cx="2415540" cy="1219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30480</xdr:rowOff>
        </xdr:from>
        <xdr:to>
          <xdr:col>1</xdr:col>
          <xdr:colOff>876300</xdr:colOff>
          <xdr:row>4</xdr:row>
          <xdr:rowOff>22860</xdr:rowOff>
        </xdr:to>
        <xdr:sp macro="" textlink="">
          <xdr:nvSpPr>
            <xdr:cNvPr id="4097" name="Drop Down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3</xdr:row>
          <xdr:rowOff>38100</xdr:rowOff>
        </xdr:from>
        <xdr:to>
          <xdr:col>2</xdr:col>
          <xdr:colOff>891540</xdr:colOff>
          <xdr:row>4</xdr:row>
          <xdr:rowOff>30480</xdr:rowOff>
        </xdr:to>
        <xdr:sp macro="" textlink="">
          <xdr:nvSpPr>
            <xdr:cNvPr id="4098" name="Drop Down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3</xdr:row>
          <xdr:rowOff>30480</xdr:rowOff>
        </xdr:from>
        <xdr:to>
          <xdr:col>3</xdr:col>
          <xdr:colOff>883920</xdr:colOff>
          <xdr:row>4</xdr:row>
          <xdr:rowOff>22860</xdr:rowOff>
        </xdr:to>
        <xdr:sp macro="" textlink="">
          <xdr:nvSpPr>
            <xdr:cNvPr id="4099" name="Drop Down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3</xdr:row>
          <xdr:rowOff>30480</xdr:rowOff>
        </xdr:from>
        <xdr:to>
          <xdr:col>4</xdr:col>
          <xdr:colOff>883920</xdr:colOff>
          <xdr:row>4</xdr:row>
          <xdr:rowOff>22860</xdr:rowOff>
        </xdr:to>
        <xdr:sp macro="" textlink="">
          <xdr:nvSpPr>
            <xdr:cNvPr id="4100" name="Drop Down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548640</xdr:colOff>
      <xdr:row>1</xdr:row>
      <xdr:rowOff>175260</xdr:rowOff>
    </xdr:from>
    <xdr:to>
      <xdr:col>7</xdr:col>
      <xdr:colOff>137160</xdr:colOff>
      <xdr:row>3</xdr:row>
      <xdr:rowOff>68580</xdr:rowOff>
    </xdr:to>
    <xdr:cxnSp macro="">
      <xdr:nvCxnSpPr>
        <xdr:cNvPr id="3" name="Straight Arrow Connector 2"/>
        <xdr:cNvCxnSpPr/>
      </xdr:nvCxnSpPr>
      <xdr:spPr>
        <a:xfrm flipV="1">
          <a:off x="2057400" y="358140"/>
          <a:ext cx="3589020" cy="259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30480</xdr:rowOff>
        </xdr:from>
        <xdr:to>
          <xdr:col>1</xdr:col>
          <xdr:colOff>876300</xdr:colOff>
          <xdr:row>5</xdr:row>
          <xdr:rowOff>22860</xdr:rowOff>
        </xdr:to>
        <xdr:sp macro="" textlink="">
          <xdr:nvSpPr>
            <xdr:cNvPr id="5121" name="Drop Down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4</xdr:row>
          <xdr:rowOff>38100</xdr:rowOff>
        </xdr:from>
        <xdr:to>
          <xdr:col>2</xdr:col>
          <xdr:colOff>891540</xdr:colOff>
          <xdr:row>5</xdr:row>
          <xdr:rowOff>30480</xdr:rowOff>
        </xdr:to>
        <xdr:sp macro="" textlink="">
          <xdr:nvSpPr>
            <xdr:cNvPr id="5122" name="Drop Down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30480</xdr:rowOff>
        </xdr:from>
        <xdr:to>
          <xdr:col>3</xdr:col>
          <xdr:colOff>883920</xdr:colOff>
          <xdr:row>5</xdr:row>
          <xdr:rowOff>22860</xdr:rowOff>
        </xdr:to>
        <xdr:sp macro="" textlink="">
          <xdr:nvSpPr>
            <xdr:cNvPr id="5123" name="Drop Down 3" hidden="1">
              <a:extLst>
                <a:ext uri="{63B3BB69-23CF-44E3-9099-C40C66FF867C}">
                  <a14:compatExt spid="_x0000_s5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</xdr:row>
          <xdr:rowOff>22860</xdr:rowOff>
        </xdr:from>
        <xdr:to>
          <xdr:col>10</xdr:col>
          <xdr:colOff>899160</xdr:colOff>
          <xdr:row>5</xdr:row>
          <xdr:rowOff>15240</xdr:rowOff>
        </xdr:to>
        <xdr:sp macro="" textlink="">
          <xdr:nvSpPr>
            <xdr:cNvPr id="5124" name="Drop Down 4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22860</xdr:colOff>
          <xdr:row>4</xdr:row>
          <xdr:rowOff>30480</xdr:rowOff>
        </xdr:from>
        <xdr:to>
          <xdr:col>13</xdr:col>
          <xdr:colOff>30480</xdr:colOff>
          <xdr:row>5</xdr:row>
          <xdr:rowOff>15240</xdr:rowOff>
        </xdr:to>
        <xdr:sp macro="" textlink="">
          <xdr:nvSpPr>
            <xdr:cNvPr id="5125" name="Drop Down 5" hidden="1">
              <a:extLst>
                <a:ext uri="{63B3BB69-23CF-44E3-9099-C40C66FF867C}">
                  <a14:compatExt spid="_x0000_s5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30480</xdr:rowOff>
        </xdr:from>
        <xdr:to>
          <xdr:col>4</xdr:col>
          <xdr:colOff>883920</xdr:colOff>
          <xdr:row>5</xdr:row>
          <xdr:rowOff>22860</xdr:rowOff>
        </xdr:to>
        <xdr:sp macro="" textlink="">
          <xdr:nvSpPr>
            <xdr:cNvPr id="5126" name="Drop Down 6" hidden="1">
              <a:extLst>
                <a:ext uri="{63B3BB69-23CF-44E3-9099-C40C66FF867C}">
                  <a14:compatExt spid="_x0000_s5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30480</xdr:rowOff>
        </xdr:from>
        <xdr:to>
          <xdr:col>1</xdr:col>
          <xdr:colOff>876300</xdr:colOff>
          <xdr:row>5</xdr:row>
          <xdr:rowOff>22860</xdr:rowOff>
        </xdr:to>
        <xdr:sp macro="" textlink="">
          <xdr:nvSpPr>
            <xdr:cNvPr id="7169" name="Drop Down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4</xdr:row>
          <xdr:rowOff>38100</xdr:rowOff>
        </xdr:from>
        <xdr:to>
          <xdr:col>2</xdr:col>
          <xdr:colOff>891540</xdr:colOff>
          <xdr:row>5</xdr:row>
          <xdr:rowOff>30480</xdr:rowOff>
        </xdr:to>
        <xdr:sp macro="" textlink="">
          <xdr:nvSpPr>
            <xdr:cNvPr id="7170" name="Drop Down 2" hidden="1">
              <a:extLst>
                <a:ext uri="{63B3BB69-23CF-44E3-9099-C40C66FF867C}">
                  <a14:compatExt spid="_x0000_s71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30480</xdr:rowOff>
        </xdr:from>
        <xdr:to>
          <xdr:col>3</xdr:col>
          <xdr:colOff>883920</xdr:colOff>
          <xdr:row>5</xdr:row>
          <xdr:rowOff>22860</xdr:rowOff>
        </xdr:to>
        <xdr:sp macro="" textlink="">
          <xdr:nvSpPr>
            <xdr:cNvPr id="7171" name="Drop Down 3" hidden="1">
              <a:extLst>
                <a:ext uri="{63B3BB69-23CF-44E3-9099-C40C66FF867C}">
                  <a14:compatExt spid="_x0000_s71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30480</xdr:rowOff>
        </xdr:from>
        <xdr:to>
          <xdr:col>4</xdr:col>
          <xdr:colOff>883920</xdr:colOff>
          <xdr:row>5</xdr:row>
          <xdr:rowOff>22860</xdr:rowOff>
        </xdr:to>
        <xdr:sp macro="" textlink="">
          <xdr:nvSpPr>
            <xdr:cNvPr id="7174" name="Drop Down 6" hidden="1">
              <a:extLst>
                <a:ext uri="{63B3BB69-23CF-44E3-9099-C40C66FF867C}">
                  <a14:compatExt spid="_x0000_s71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30480</xdr:rowOff>
        </xdr:from>
        <xdr:to>
          <xdr:col>1</xdr:col>
          <xdr:colOff>876300</xdr:colOff>
          <xdr:row>5</xdr:row>
          <xdr:rowOff>22860</xdr:rowOff>
        </xdr:to>
        <xdr:sp macro="" textlink="">
          <xdr:nvSpPr>
            <xdr:cNvPr id="9217" name="Drop Dow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4</xdr:row>
          <xdr:rowOff>38100</xdr:rowOff>
        </xdr:from>
        <xdr:to>
          <xdr:col>2</xdr:col>
          <xdr:colOff>891540</xdr:colOff>
          <xdr:row>5</xdr:row>
          <xdr:rowOff>30480</xdr:rowOff>
        </xdr:to>
        <xdr:sp macro="" textlink="">
          <xdr:nvSpPr>
            <xdr:cNvPr id="9218" name="Drop Dow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30480</xdr:rowOff>
        </xdr:from>
        <xdr:to>
          <xdr:col>3</xdr:col>
          <xdr:colOff>883920</xdr:colOff>
          <xdr:row>5</xdr:row>
          <xdr:rowOff>22860</xdr:rowOff>
        </xdr:to>
        <xdr:sp macro="" textlink="">
          <xdr:nvSpPr>
            <xdr:cNvPr id="9219" name="Drop Dow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30480</xdr:rowOff>
        </xdr:from>
        <xdr:to>
          <xdr:col>4</xdr:col>
          <xdr:colOff>883920</xdr:colOff>
          <xdr:row>5</xdr:row>
          <xdr:rowOff>22860</xdr:rowOff>
        </xdr:to>
        <xdr:sp macro="" textlink="">
          <xdr:nvSpPr>
            <xdr:cNvPr id="9222" name="Drop Dow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30480</xdr:rowOff>
        </xdr:from>
        <xdr:to>
          <xdr:col>1</xdr:col>
          <xdr:colOff>876300</xdr:colOff>
          <xdr:row>5</xdr:row>
          <xdr:rowOff>22860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4</xdr:row>
          <xdr:rowOff>38100</xdr:rowOff>
        </xdr:from>
        <xdr:to>
          <xdr:col>2</xdr:col>
          <xdr:colOff>891540</xdr:colOff>
          <xdr:row>5</xdr:row>
          <xdr:rowOff>30480</xdr:rowOff>
        </xdr:to>
        <xdr:sp macro="" textlink="">
          <xdr:nvSpPr>
            <xdr:cNvPr id="3074" name="Drop Down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30480</xdr:rowOff>
        </xdr:from>
        <xdr:to>
          <xdr:col>3</xdr:col>
          <xdr:colOff>883920</xdr:colOff>
          <xdr:row>5</xdr:row>
          <xdr:rowOff>22860</xdr:rowOff>
        </xdr:to>
        <xdr:sp macro="" textlink="">
          <xdr:nvSpPr>
            <xdr:cNvPr id="3075" name="Drop Down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</xdr:row>
          <xdr:rowOff>22860</xdr:rowOff>
        </xdr:from>
        <xdr:to>
          <xdr:col>10</xdr:col>
          <xdr:colOff>899160</xdr:colOff>
          <xdr:row>5</xdr:row>
          <xdr:rowOff>15240</xdr:rowOff>
        </xdr:to>
        <xdr:sp macro="" textlink="">
          <xdr:nvSpPr>
            <xdr:cNvPr id="3076" name="Drop Down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22860</xdr:colOff>
          <xdr:row>4</xdr:row>
          <xdr:rowOff>30480</xdr:rowOff>
        </xdr:from>
        <xdr:to>
          <xdr:col>13</xdr:col>
          <xdr:colOff>30480</xdr:colOff>
          <xdr:row>5</xdr:row>
          <xdr:rowOff>15240</xdr:rowOff>
        </xdr:to>
        <xdr:sp macro="" textlink="">
          <xdr:nvSpPr>
            <xdr:cNvPr id="3077" name="Drop Down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30480</xdr:rowOff>
        </xdr:from>
        <xdr:to>
          <xdr:col>4</xdr:col>
          <xdr:colOff>883920</xdr:colOff>
          <xdr:row>5</xdr:row>
          <xdr:rowOff>22860</xdr:rowOff>
        </xdr:to>
        <xdr:sp macro="" textlink="">
          <xdr:nvSpPr>
            <xdr:cNvPr id="3078" name="Drop Down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30480</xdr:rowOff>
        </xdr:from>
        <xdr:to>
          <xdr:col>1</xdr:col>
          <xdr:colOff>876300</xdr:colOff>
          <xdr:row>5</xdr:row>
          <xdr:rowOff>22860</xdr:rowOff>
        </xdr:to>
        <xdr:sp macro="" textlink="">
          <xdr:nvSpPr>
            <xdr:cNvPr id="8193" name="Drop Down 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4</xdr:row>
          <xdr:rowOff>38100</xdr:rowOff>
        </xdr:from>
        <xdr:to>
          <xdr:col>2</xdr:col>
          <xdr:colOff>891540</xdr:colOff>
          <xdr:row>5</xdr:row>
          <xdr:rowOff>30480</xdr:rowOff>
        </xdr:to>
        <xdr:sp macro="" textlink="">
          <xdr:nvSpPr>
            <xdr:cNvPr id="8194" name="Drop Down 2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30480</xdr:rowOff>
        </xdr:from>
        <xdr:to>
          <xdr:col>3</xdr:col>
          <xdr:colOff>883920</xdr:colOff>
          <xdr:row>5</xdr:row>
          <xdr:rowOff>22860</xdr:rowOff>
        </xdr:to>
        <xdr:sp macro="" textlink="">
          <xdr:nvSpPr>
            <xdr:cNvPr id="8195" name="Drop Down 3" hidden="1">
              <a:extLst>
                <a:ext uri="{63B3BB69-23CF-44E3-9099-C40C66FF867C}">
                  <a14:compatExt spid="_x0000_s81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30480</xdr:rowOff>
        </xdr:from>
        <xdr:to>
          <xdr:col>4</xdr:col>
          <xdr:colOff>883920</xdr:colOff>
          <xdr:row>5</xdr:row>
          <xdr:rowOff>22860</xdr:rowOff>
        </xdr:to>
        <xdr:sp macro="" textlink="">
          <xdr:nvSpPr>
            <xdr:cNvPr id="8198" name="Drop Down 6" hidden="1">
              <a:extLst>
                <a:ext uri="{63B3BB69-23CF-44E3-9099-C40C66FF867C}">
                  <a14:compatExt spid="_x0000_s81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30480</xdr:rowOff>
        </xdr:from>
        <xdr:to>
          <xdr:col>1</xdr:col>
          <xdr:colOff>876300</xdr:colOff>
          <xdr:row>5</xdr:row>
          <xdr:rowOff>22860</xdr:rowOff>
        </xdr:to>
        <xdr:sp macro="" textlink="">
          <xdr:nvSpPr>
            <xdr:cNvPr id="10241" name="Drop Down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4</xdr:row>
          <xdr:rowOff>38100</xdr:rowOff>
        </xdr:from>
        <xdr:to>
          <xdr:col>2</xdr:col>
          <xdr:colOff>891540</xdr:colOff>
          <xdr:row>5</xdr:row>
          <xdr:rowOff>30480</xdr:rowOff>
        </xdr:to>
        <xdr:sp macro="" textlink="">
          <xdr:nvSpPr>
            <xdr:cNvPr id="10242" name="Drop Down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30480</xdr:rowOff>
        </xdr:from>
        <xdr:to>
          <xdr:col>3</xdr:col>
          <xdr:colOff>883920</xdr:colOff>
          <xdr:row>5</xdr:row>
          <xdr:rowOff>22860</xdr:rowOff>
        </xdr:to>
        <xdr:sp macro="" textlink="">
          <xdr:nvSpPr>
            <xdr:cNvPr id="10243" name="Drop Down 3" hidden="1">
              <a:extLst>
                <a:ext uri="{63B3BB69-23CF-44E3-9099-C40C66FF867C}">
                  <a14:compatExt spid="_x0000_s10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30480</xdr:rowOff>
        </xdr:from>
        <xdr:to>
          <xdr:col>4</xdr:col>
          <xdr:colOff>883920</xdr:colOff>
          <xdr:row>5</xdr:row>
          <xdr:rowOff>22860</xdr:rowOff>
        </xdr:to>
        <xdr:sp macro="" textlink="">
          <xdr:nvSpPr>
            <xdr:cNvPr id="10246" name="Drop Down 6" hidden="1">
              <a:extLst>
                <a:ext uri="{63B3BB69-23CF-44E3-9099-C40C66FF867C}">
                  <a14:compatExt spid="_x0000_s102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5</xdr:row>
          <xdr:rowOff>83820</xdr:rowOff>
        </xdr:from>
        <xdr:to>
          <xdr:col>8</xdr:col>
          <xdr:colOff>137160</xdr:colOff>
          <xdr:row>6</xdr:row>
          <xdr:rowOff>7620</xdr:rowOff>
        </xdr:to>
        <xdr:sp macro="" textlink="">
          <xdr:nvSpPr>
            <xdr:cNvPr id="11265" name="Drop Down 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3</xdr:row>
          <xdr:rowOff>53340</xdr:rowOff>
        </xdr:from>
        <xdr:to>
          <xdr:col>5</xdr:col>
          <xdr:colOff>205740</xdr:colOff>
          <xdr:row>4</xdr:row>
          <xdr:rowOff>15240</xdr:rowOff>
        </xdr:to>
        <xdr:sp macro="" textlink="">
          <xdr:nvSpPr>
            <xdr:cNvPr id="11266" name="Drop Down 2" hidden="1">
              <a:extLst>
                <a:ext uri="{63B3BB69-23CF-44E3-9099-C40C66FF867C}">
                  <a14:compatExt spid="_x0000_s11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7</xdr:row>
          <xdr:rowOff>45720</xdr:rowOff>
        </xdr:from>
        <xdr:to>
          <xdr:col>5</xdr:col>
          <xdr:colOff>297180</xdr:colOff>
          <xdr:row>8</xdr:row>
          <xdr:rowOff>7620</xdr:rowOff>
        </xdr:to>
        <xdr:sp macro="" textlink="">
          <xdr:nvSpPr>
            <xdr:cNvPr id="11267" name="Drop Down 3" hidden="1">
              <a:extLst>
                <a:ext uri="{63B3BB69-23CF-44E3-9099-C40C66FF867C}">
                  <a14:compatExt spid="_x0000_s112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60960</xdr:colOff>
          <xdr:row>7</xdr:row>
          <xdr:rowOff>30480</xdr:rowOff>
        </xdr:from>
        <xdr:to>
          <xdr:col>9</xdr:col>
          <xdr:colOff>266700</xdr:colOff>
          <xdr:row>7</xdr:row>
          <xdr:rowOff>243840</xdr:rowOff>
        </xdr:to>
        <xdr:sp macro="" textlink="">
          <xdr:nvSpPr>
            <xdr:cNvPr id="11268" name="Drop Down 4" hidden="1">
              <a:extLst>
                <a:ext uri="{63B3BB69-23CF-44E3-9099-C40C66FF867C}">
                  <a14:compatExt spid="_x0000_s11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10</xdr:row>
          <xdr:rowOff>15240</xdr:rowOff>
        </xdr:from>
        <xdr:to>
          <xdr:col>5</xdr:col>
          <xdr:colOff>297180</xdr:colOff>
          <xdr:row>11</xdr:row>
          <xdr:rowOff>53340</xdr:rowOff>
        </xdr:to>
        <xdr:sp macro="" textlink="">
          <xdr:nvSpPr>
            <xdr:cNvPr id="11269" name="Drop Down 5" hidden="1">
              <a:extLst>
                <a:ext uri="{63B3BB69-23CF-44E3-9099-C40C66FF867C}">
                  <a14:compatExt spid="_x0000_s112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13</xdr:row>
          <xdr:rowOff>99060</xdr:rowOff>
        </xdr:from>
        <xdr:to>
          <xdr:col>5</xdr:col>
          <xdr:colOff>228600</xdr:colOff>
          <xdr:row>14</xdr:row>
          <xdr:rowOff>114300</xdr:rowOff>
        </xdr:to>
        <xdr:sp macro="" textlink="">
          <xdr:nvSpPr>
            <xdr:cNvPr id="11270" name="Drop Down 6" hidden="1">
              <a:extLst>
                <a:ext uri="{63B3BB69-23CF-44E3-9099-C40C66FF867C}">
                  <a14:compatExt spid="_x0000_s112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18</xdr:row>
          <xdr:rowOff>175260</xdr:rowOff>
        </xdr:from>
        <xdr:to>
          <xdr:col>4</xdr:col>
          <xdr:colOff>7620</xdr:colOff>
          <xdr:row>20</xdr:row>
          <xdr:rowOff>7620</xdr:rowOff>
        </xdr:to>
        <xdr:sp macro="" textlink="">
          <xdr:nvSpPr>
            <xdr:cNvPr id="11272" name="Drop Down 8" hidden="1">
              <a:extLst>
                <a:ext uri="{63B3BB69-23CF-44E3-9099-C40C66FF867C}">
                  <a14:compatExt spid="_x0000_s112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</xdr:colOff>
          <xdr:row>18</xdr:row>
          <xdr:rowOff>175260</xdr:rowOff>
        </xdr:from>
        <xdr:to>
          <xdr:col>5</xdr:col>
          <xdr:colOff>7620</xdr:colOff>
          <xdr:row>20</xdr:row>
          <xdr:rowOff>7620</xdr:rowOff>
        </xdr:to>
        <xdr:sp macro="" textlink="">
          <xdr:nvSpPr>
            <xdr:cNvPr id="11273" name="Drop Down 9" hidden="1">
              <a:extLst>
                <a:ext uri="{63B3BB69-23CF-44E3-9099-C40C66FF867C}">
                  <a14:compatExt spid="_x0000_s112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18</xdr:row>
          <xdr:rowOff>167640</xdr:rowOff>
        </xdr:from>
        <xdr:to>
          <xdr:col>5</xdr:col>
          <xdr:colOff>624840</xdr:colOff>
          <xdr:row>20</xdr:row>
          <xdr:rowOff>0</xdr:rowOff>
        </xdr:to>
        <xdr:sp macro="" textlink="">
          <xdr:nvSpPr>
            <xdr:cNvPr id="11274" name="Drop Down 10" hidden="1">
              <a:extLst>
                <a:ext uri="{63B3BB69-23CF-44E3-9099-C40C66FF867C}">
                  <a14:compatExt spid="_x0000_s112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18</xdr:row>
          <xdr:rowOff>167640</xdr:rowOff>
        </xdr:from>
        <xdr:to>
          <xdr:col>7</xdr:col>
          <xdr:colOff>15240</xdr:colOff>
          <xdr:row>20</xdr:row>
          <xdr:rowOff>0</xdr:rowOff>
        </xdr:to>
        <xdr:sp macro="" textlink="">
          <xdr:nvSpPr>
            <xdr:cNvPr id="11275" name="Drop Down 11" hidden="1">
              <a:extLst>
                <a:ext uri="{63B3BB69-23CF-44E3-9099-C40C66FF867C}">
                  <a14:compatExt spid="_x0000_s112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</xdr:colOff>
          <xdr:row>18</xdr:row>
          <xdr:rowOff>167640</xdr:rowOff>
        </xdr:from>
        <xdr:to>
          <xdr:col>8</xdr:col>
          <xdr:colOff>22860</xdr:colOff>
          <xdr:row>20</xdr:row>
          <xdr:rowOff>0</xdr:rowOff>
        </xdr:to>
        <xdr:sp macro="" textlink="">
          <xdr:nvSpPr>
            <xdr:cNvPr id="11276" name="Drop Down 12" hidden="1">
              <a:extLst>
                <a:ext uri="{63B3BB69-23CF-44E3-9099-C40C66FF867C}">
                  <a14:compatExt spid="_x0000_s112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45720</xdr:colOff>
          <xdr:row>19</xdr:row>
          <xdr:rowOff>0</xdr:rowOff>
        </xdr:from>
        <xdr:to>
          <xdr:col>8</xdr:col>
          <xdr:colOff>647700</xdr:colOff>
          <xdr:row>20</xdr:row>
          <xdr:rowOff>15240</xdr:rowOff>
        </xdr:to>
        <xdr:sp macro="" textlink="">
          <xdr:nvSpPr>
            <xdr:cNvPr id="11277" name="Drop Down 13" hidden="1">
              <a:extLst>
                <a:ext uri="{63B3BB69-23CF-44E3-9099-C40C66FF867C}">
                  <a14:compatExt spid="_x0000_s112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</xdr:row>
          <xdr:rowOff>7620</xdr:rowOff>
        </xdr:from>
        <xdr:to>
          <xdr:col>3</xdr:col>
          <xdr:colOff>601980</xdr:colOff>
          <xdr:row>23</xdr:row>
          <xdr:rowOff>22860</xdr:rowOff>
        </xdr:to>
        <xdr:sp macro="" textlink="">
          <xdr:nvSpPr>
            <xdr:cNvPr id="11278" name="Drop Down 14" hidden="1">
              <a:extLst>
                <a:ext uri="{63B3BB69-23CF-44E3-9099-C40C66FF867C}">
                  <a14:compatExt spid="_x0000_s112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</xdr:row>
          <xdr:rowOff>7620</xdr:rowOff>
        </xdr:from>
        <xdr:to>
          <xdr:col>3</xdr:col>
          <xdr:colOff>601980</xdr:colOff>
          <xdr:row>24</xdr:row>
          <xdr:rowOff>22860</xdr:rowOff>
        </xdr:to>
        <xdr:sp macro="" textlink="">
          <xdr:nvSpPr>
            <xdr:cNvPr id="11279" name="Drop Down 15" hidden="1">
              <a:extLst>
                <a:ext uri="{63B3BB69-23CF-44E3-9099-C40C66FF867C}">
                  <a14:compatExt spid="_x0000_s112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7620</xdr:rowOff>
        </xdr:from>
        <xdr:to>
          <xdr:col>6</xdr:col>
          <xdr:colOff>594360</xdr:colOff>
          <xdr:row>26</xdr:row>
          <xdr:rowOff>15240</xdr:rowOff>
        </xdr:to>
        <xdr:sp macro="" textlink="">
          <xdr:nvSpPr>
            <xdr:cNvPr id="11280" name="Drop Down 16" hidden="1">
              <a:extLst>
                <a:ext uri="{63B3BB69-23CF-44E3-9099-C40C66FF867C}">
                  <a14:compatExt spid="_x0000_s112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6</xdr:row>
          <xdr:rowOff>45720</xdr:rowOff>
        </xdr:from>
        <xdr:to>
          <xdr:col>5</xdr:col>
          <xdr:colOff>297180</xdr:colOff>
          <xdr:row>7</xdr:row>
          <xdr:rowOff>7620</xdr:rowOff>
        </xdr:to>
        <xdr:sp macro="" textlink="">
          <xdr:nvSpPr>
            <xdr:cNvPr id="11281" name="Drop Down 17" hidden="1">
              <a:extLst>
                <a:ext uri="{63B3BB69-23CF-44E3-9099-C40C66FF867C}">
                  <a14:compatExt spid="_x0000_s112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274320</xdr:colOff>
      <xdr:row>13</xdr:row>
      <xdr:rowOff>68580</xdr:rowOff>
    </xdr:from>
    <xdr:to>
      <xdr:col>13</xdr:col>
      <xdr:colOff>457200</xdr:colOff>
      <xdr:row>14</xdr:row>
      <xdr:rowOff>68580</xdr:rowOff>
    </xdr:to>
    <xdr:cxnSp macro="">
      <xdr:nvCxnSpPr>
        <xdr:cNvPr id="3" name="Straight Arrow Connector 2"/>
        <xdr:cNvCxnSpPr/>
      </xdr:nvCxnSpPr>
      <xdr:spPr>
        <a:xfrm flipV="1">
          <a:off x="3322320" y="2971800"/>
          <a:ext cx="512826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312420</xdr:colOff>
          <xdr:row>10</xdr:row>
          <xdr:rowOff>22860</xdr:rowOff>
        </xdr:from>
        <xdr:to>
          <xdr:col>6</xdr:col>
          <xdr:colOff>251460</xdr:colOff>
          <xdr:row>11</xdr:row>
          <xdr:rowOff>60960</xdr:rowOff>
        </xdr:to>
        <xdr:sp macro="" textlink="">
          <xdr:nvSpPr>
            <xdr:cNvPr id="11282" name="Button 18" hidden="1">
              <a:extLst>
                <a:ext uri="{63B3BB69-23CF-44E3-9099-C40C66FF867C}">
                  <a14:compatExt spid="_x0000_s112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++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236220</xdr:colOff>
          <xdr:row>5</xdr:row>
          <xdr:rowOff>68580</xdr:rowOff>
        </xdr:from>
        <xdr:to>
          <xdr:col>9</xdr:col>
          <xdr:colOff>144780</xdr:colOff>
          <xdr:row>6</xdr:row>
          <xdr:rowOff>38100</xdr:rowOff>
        </xdr:to>
        <xdr:sp macro="" textlink="">
          <xdr:nvSpPr>
            <xdr:cNvPr id="11283" name="Button 19" hidden="1">
              <a:extLst>
                <a:ext uri="{63B3BB69-23CF-44E3-9099-C40C66FF867C}">
                  <a14:compatExt spid="_x0000_s112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++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53340</xdr:rowOff>
        </xdr:from>
        <xdr:to>
          <xdr:col>5</xdr:col>
          <xdr:colOff>205740</xdr:colOff>
          <xdr:row>5</xdr:row>
          <xdr:rowOff>15240</xdr:rowOff>
        </xdr:to>
        <xdr:sp macro="" textlink="">
          <xdr:nvSpPr>
            <xdr:cNvPr id="11284" name="Drop Down 20" hidden="1">
              <a:extLst>
                <a:ext uri="{63B3BB69-23CF-44E3-9099-C40C66FF867C}">
                  <a14:compatExt spid="_x0000_s112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251460</xdr:colOff>
      <xdr:row>4</xdr:row>
      <xdr:rowOff>83820</xdr:rowOff>
    </xdr:from>
    <xdr:to>
      <xdr:col>6</xdr:col>
      <xdr:colOff>464820</xdr:colOff>
      <xdr:row>4</xdr:row>
      <xdr:rowOff>175260</xdr:rowOff>
    </xdr:to>
    <xdr:cxnSp macro="">
      <xdr:nvCxnSpPr>
        <xdr:cNvPr id="5" name="Straight Arrow Connector 4"/>
        <xdr:cNvCxnSpPr/>
      </xdr:nvCxnSpPr>
      <xdr:spPr>
        <a:xfrm flipV="1">
          <a:off x="3299460" y="883920"/>
          <a:ext cx="861060" cy="914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15</xdr:row>
          <xdr:rowOff>7620</xdr:rowOff>
        </xdr:from>
        <xdr:to>
          <xdr:col>5</xdr:col>
          <xdr:colOff>236220</xdr:colOff>
          <xdr:row>16</xdr:row>
          <xdr:rowOff>22860</xdr:rowOff>
        </xdr:to>
        <xdr:sp macro="" textlink="">
          <xdr:nvSpPr>
            <xdr:cNvPr id="11285" name="Drop Down 21" hidden="1">
              <a:extLst>
                <a:ext uri="{63B3BB69-23CF-44E3-9099-C40C66FF867C}">
                  <a14:compatExt spid="_x0000_s112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411480</xdr:colOff>
      <xdr:row>15</xdr:row>
      <xdr:rowOff>137160</xdr:rowOff>
    </xdr:from>
    <xdr:to>
      <xdr:col>6</xdr:col>
      <xdr:colOff>175260</xdr:colOff>
      <xdr:row>16</xdr:row>
      <xdr:rowOff>144780</xdr:rowOff>
    </xdr:to>
    <xdr:cxnSp macro="">
      <xdr:nvCxnSpPr>
        <xdr:cNvPr id="4" name="Straight Arrow Connector 3"/>
        <xdr:cNvCxnSpPr/>
      </xdr:nvCxnSpPr>
      <xdr:spPr>
        <a:xfrm flipH="1">
          <a:off x="3459480" y="3040380"/>
          <a:ext cx="41148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502920</xdr:colOff>
      <xdr:row>15</xdr:row>
      <xdr:rowOff>144780</xdr:rowOff>
    </xdr:from>
    <xdr:to>
      <xdr:col>7</xdr:col>
      <xdr:colOff>106680</xdr:colOff>
      <xdr:row>16</xdr:row>
      <xdr:rowOff>129540</xdr:rowOff>
    </xdr:to>
    <xdr:cxnSp macro="">
      <xdr:nvCxnSpPr>
        <xdr:cNvPr id="7" name="Straight Arrow Connector 6"/>
        <xdr:cNvCxnSpPr/>
      </xdr:nvCxnSpPr>
      <xdr:spPr>
        <a:xfrm>
          <a:off x="4198620" y="3048000"/>
          <a:ext cx="21336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8</xdr:row>
          <xdr:rowOff>160020</xdr:rowOff>
        </xdr:from>
        <xdr:to>
          <xdr:col>5</xdr:col>
          <xdr:colOff>297180</xdr:colOff>
          <xdr:row>10</xdr:row>
          <xdr:rowOff>7620</xdr:rowOff>
        </xdr:to>
        <xdr:sp macro="" textlink="">
          <xdr:nvSpPr>
            <xdr:cNvPr id="11286" name="Drop Down 22" hidden="1">
              <a:extLst>
                <a:ext uri="{63B3BB69-23CF-44E3-9099-C40C66FF867C}">
                  <a14:compatExt spid="_x0000_s112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312420</xdr:colOff>
      <xdr:row>9</xdr:row>
      <xdr:rowOff>45720</xdr:rowOff>
    </xdr:from>
    <xdr:to>
      <xdr:col>6</xdr:col>
      <xdr:colOff>502920</xdr:colOff>
      <xdr:row>9</xdr:row>
      <xdr:rowOff>53340</xdr:rowOff>
    </xdr:to>
    <xdr:cxnSp macro="">
      <xdr:nvCxnSpPr>
        <xdr:cNvPr id="11" name="Straight Arrow Connector 10"/>
        <xdr:cNvCxnSpPr/>
      </xdr:nvCxnSpPr>
      <xdr:spPr>
        <a:xfrm flipV="1">
          <a:off x="3360420" y="2034540"/>
          <a:ext cx="8382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277906</xdr:colOff>
      <xdr:row>15</xdr:row>
      <xdr:rowOff>125506</xdr:rowOff>
    </xdr:from>
    <xdr:to>
      <xdr:col>5</xdr:col>
      <xdr:colOff>582706</xdr:colOff>
      <xdr:row>15</xdr:row>
      <xdr:rowOff>125506</xdr:rowOff>
    </xdr:to>
    <xdr:cxnSp macro="">
      <xdr:nvCxnSpPr>
        <xdr:cNvPr id="6" name="Straight Arrow Connector 5"/>
        <xdr:cNvCxnSpPr/>
      </xdr:nvCxnSpPr>
      <xdr:spPr>
        <a:xfrm>
          <a:off x="3325906" y="3173506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215153</xdr:colOff>
      <xdr:row>27</xdr:row>
      <xdr:rowOff>0</xdr:rowOff>
    </xdr:from>
    <xdr:to>
      <xdr:col>2</xdr:col>
      <xdr:colOff>224118</xdr:colOff>
      <xdr:row>31</xdr:row>
      <xdr:rowOff>80682</xdr:rowOff>
    </xdr:to>
    <xdr:cxnSp macro="">
      <xdr:nvCxnSpPr>
        <xdr:cNvPr id="8" name="Straight Arrow Connector 7"/>
        <xdr:cNvCxnSpPr/>
      </xdr:nvCxnSpPr>
      <xdr:spPr>
        <a:xfrm flipH="1">
          <a:off x="1434353" y="5199529"/>
          <a:ext cx="8965" cy="7978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</xdr:row>
          <xdr:rowOff>7620</xdr:rowOff>
        </xdr:from>
        <xdr:to>
          <xdr:col>6</xdr:col>
          <xdr:colOff>594360</xdr:colOff>
          <xdr:row>26</xdr:row>
          <xdr:rowOff>198120</xdr:rowOff>
        </xdr:to>
        <xdr:sp macro="" textlink="">
          <xdr:nvSpPr>
            <xdr:cNvPr id="11287" name="Drop Down 23" hidden="1">
              <a:extLst>
                <a:ext uri="{63B3BB69-23CF-44E3-9099-C40C66FF867C}">
                  <a14:compatExt spid="_x0000_s112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233083</xdr:colOff>
      <xdr:row>9</xdr:row>
      <xdr:rowOff>161365</xdr:rowOff>
    </xdr:from>
    <xdr:to>
      <xdr:col>10</xdr:col>
      <xdr:colOff>286871</xdr:colOff>
      <xdr:row>10</xdr:row>
      <xdr:rowOff>170331</xdr:rowOff>
    </xdr:to>
    <xdr:cxnSp macro="">
      <xdr:nvCxnSpPr>
        <xdr:cNvPr id="9" name="Straight Arrow Connector 8"/>
        <xdr:cNvCxnSpPr/>
      </xdr:nvCxnSpPr>
      <xdr:spPr>
        <a:xfrm flipV="1">
          <a:off x="3281083" y="2133600"/>
          <a:ext cx="3209364" cy="188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14</xdr:row>
      <xdr:rowOff>0</xdr:rowOff>
    </xdr:from>
    <xdr:to>
      <xdr:col>12</xdr:col>
      <xdr:colOff>261789</xdr:colOff>
      <xdr:row>55</xdr:row>
      <xdr:rowOff>142036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2560320"/>
          <a:ext cx="5763429" cy="764011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15240</xdr:colOff>
          <xdr:row>38</xdr:row>
          <xdr:rowOff>15240</xdr:rowOff>
        </xdr:from>
        <xdr:to>
          <xdr:col>17</xdr:col>
          <xdr:colOff>7620</xdr:colOff>
          <xdr:row>38</xdr:row>
          <xdr:rowOff>175260</xdr:rowOff>
        </xdr:to>
        <xdr:sp macro="" textlink="">
          <xdr:nvSpPr>
            <xdr:cNvPr id="73729" name="Drop Down 1" hidden="1">
              <a:extLst>
                <a:ext uri="{63B3BB69-23CF-44E3-9099-C40C66FF867C}">
                  <a14:compatExt spid="_x0000_s737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708660</xdr:colOff>
      <xdr:row>9</xdr:row>
      <xdr:rowOff>76200</xdr:rowOff>
    </xdr:from>
    <xdr:to>
      <xdr:col>13</xdr:col>
      <xdr:colOff>106680</xdr:colOff>
      <xdr:row>14</xdr:row>
      <xdr:rowOff>60960</xdr:rowOff>
    </xdr:to>
    <xdr:cxnSp macro="">
      <xdr:nvCxnSpPr>
        <xdr:cNvPr id="3" name="Straight Arrow Connector 2"/>
        <xdr:cNvCxnSpPr/>
      </xdr:nvCxnSpPr>
      <xdr:spPr>
        <a:xfrm flipH="1">
          <a:off x="2994660" y="1722120"/>
          <a:ext cx="7018020" cy="899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16</xdr:row>
          <xdr:rowOff>15240</xdr:rowOff>
        </xdr:from>
        <xdr:to>
          <xdr:col>5</xdr:col>
          <xdr:colOff>952500</xdr:colOff>
          <xdr:row>17</xdr:row>
          <xdr:rowOff>7620</xdr:rowOff>
        </xdr:to>
        <xdr:sp macro="" textlink="">
          <xdr:nvSpPr>
            <xdr:cNvPr id="77825" name="Drop Down 1" hidden="1">
              <a:extLst>
                <a:ext uri="{63B3BB69-23CF-44E3-9099-C40C66FF867C}">
                  <a14:compatExt spid="_x0000_s778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960120</xdr:colOff>
          <xdr:row>16</xdr:row>
          <xdr:rowOff>15240</xdr:rowOff>
        </xdr:from>
        <xdr:to>
          <xdr:col>7</xdr:col>
          <xdr:colOff>15240</xdr:colOff>
          <xdr:row>17</xdr:row>
          <xdr:rowOff>15240</xdr:rowOff>
        </xdr:to>
        <xdr:sp macro="" textlink="">
          <xdr:nvSpPr>
            <xdr:cNvPr id="77826" name="Drop Down 2" hidden="1">
              <a:extLst>
                <a:ext uri="{63B3BB69-23CF-44E3-9099-C40C66FF867C}">
                  <a14:compatExt spid="_x0000_s778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16</xdr:row>
          <xdr:rowOff>7620</xdr:rowOff>
        </xdr:from>
        <xdr:to>
          <xdr:col>4</xdr:col>
          <xdr:colOff>7620</xdr:colOff>
          <xdr:row>17</xdr:row>
          <xdr:rowOff>7620</xdr:rowOff>
        </xdr:to>
        <xdr:sp macro="" textlink="">
          <xdr:nvSpPr>
            <xdr:cNvPr id="77827" name="Drop Down 3" hidden="1">
              <a:extLst>
                <a:ext uri="{63B3BB69-23CF-44E3-9099-C40C66FF867C}">
                  <a14:compatExt spid="_x0000_s778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1021080</xdr:colOff>
      <xdr:row>9</xdr:row>
      <xdr:rowOff>114300</xdr:rowOff>
    </xdr:from>
    <xdr:to>
      <xdr:col>10</xdr:col>
      <xdr:colOff>335280</xdr:colOff>
      <xdr:row>12</xdr:row>
      <xdr:rowOff>129540</xdr:rowOff>
    </xdr:to>
    <xdr:cxnSp macro="">
      <xdr:nvCxnSpPr>
        <xdr:cNvPr id="5" name="Straight Arrow Connector 4"/>
        <xdr:cNvCxnSpPr/>
      </xdr:nvCxnSpPr>
      <xdr:spPr>
        <a:xfrm flipH="1">
          <a:off x="6918960" y="1760220"/>
          <a:ext cx="1295400" cy="563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243840</xdr:colOff>
      <xdr:row>6</xdr:row>
      <xdr:rowOff>121920</xdr:rowOff>
    </xdr:from>
    <xdr:to>
      <xdr:col>13</xdr:col>
      <xdr:colOff>304800</xdr:colOff>
      <xdr:row>13</xdr:row>
      <xdr:rowOff>175260</xdr:rowOff>
    </xdr:to>
    <xdr:cxnSp macro="">
      <xdr:nvCxnSpPr>
        <xdr:cNvPr id="7" name="Straight Arrow Connector 6"/>
        <xdr:cNvCxnSpPr/>
      </xdr:nvCxnSpPr>
      <xdr:spPr>
        <a:xfrm>
          <a:off x="8915400" y="1219200"/>
          <a:ext cx="1295400" cy="1333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10</xdr:row>
          <xdr:rowOff>38100</xdr:rowOff>
        </xdr:from>
        <xdr:to>
          <xdr:col>3</xdr:col>
          <xdr:colOff>1242060</xdr:colOff>
          <xdr:row>10</xdr:row>
          <xdr:rowOff>213360</xdr:rowOff>
        </xdr:to>
        <xdr:sp macro="" textlink="">
          <xdr:nvSpPr>
            <xdr:cNvPr id="55297" name="Drop Down 1" hidden="1">
              <a:extLst>
                <a:ext uri="{63B3BB69-23CF-44E3-9099-C40C66FF867C}">
                  <a14:compatExt spid="_x0000_s552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</xdr:colOff>
          <xdr:row>10</xdr:row>
          <xdr:rowOff>121920</xdr:rowOff>
        </xdr:from>
        <xdr:to>
          <xdr:col>6</xdr:col>
          <xdr:colOff>601980</xdr:colOff>
          <xdr:row>11</xdr:row>
          <xdr:rowOff>22860</xdr:rowOff>
        </xdr:to>
        <xdr:sp macro="" textlink="">
          <xdr:nvSpPr>
            <xdr:cNvPr id="55298" name="Drop Down 2" hidden="1">
              <a:extLst>
                <a:ext uri="{63B3BB69-23CF-44E3-9099-C40C66FF867C}">
                  <a14:compatExt spid="_x0000_s552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11</xdr:row>
          <xdr:rowOff>0</xdr:rowOff>
        </xdr:from>
        <xdr:to>
          <xdr:col>3</xdr:col>
          <xdr:colOff>1242060</xdr:colOff>
          <xdr:row>11</xdr:row>
          <xdr:rowOff>175260</xdr:rowOff>
        </xdr:to>
        <xdr:sp macro="" textlink="">
          <xdr:nvSpPr>
            <xdr:cNvPr id="55299" name="Drop Down 3" hidden="1">
              <a:extLst>
                <a:ext uri="{63B3BB69-23CF-44E3-9099-C40C66FF867C}">
                  <a14:compatExt spid="_x0000_s552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0</xdr:rowOff>
        </xdr:from>
        <xdr:to>
          <xdr:col>5</xdr:col>
          <xdr:colOff>0</xdr:colOff>
          <xdr:row>17</xdr:row>
          <xdr:rowOff>0</xdr:rowOff>
        </xdr:to>
        <xdr:sp macro="" textlink="">
          <xdr:nvSpPr>
            <xdr:cNvPr id="55300" name="Drop Down 4" hidden="1">
              <a:extLst>
                <a:ext uri="{63B3BB69-23CF-44E3-9099-C40C66FF867C}">
                  <a14:compatExt spid="_x0000_s553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60960</xdr:colOff>
          <xdr:row>15</xdr:row>
          <xdr:rowOff>533400</xdr:rowOff>
        </xdr:from>
        <xdr:to>
          <xdr:col>13</xdr:col>
          <xdr:colOff>426720</xdr:colOff>
          <xdr:row>17</xdr:row>
          <xdr:rowOff>0</xdr:rowOff>
        </xdr:to>
        <xdr:sp macro="" textlink="">
          <xdr:nvSpPr>
            <xdr:cNvPr id="55301" name="Button 5" hidden="1">
              <a:extLst>
                <a:ext uri="{63B3BB69-23CF-44E3-9099-C40C66FF867C}">
                  <a14:compatExt spid="_x0000_s553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 / Update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1</xdr:row>
          <xdr:rowOff>137160</xdr:rowOff>
        </xdr:from>
        <xdr:to>
          <xdr:col>4</xdr:col>
          <xdr:colOff>563880</xdr:colOff>
          <xdr:row>2</xdr:row>
          <xdr:rowOff>175260</xdr:rowOff>
        </xdr:to>
        <xdr:sp macro="" textlink="">
          <xdr:nvSpPr>
            <xdr:cNvPr id="55302" name="Button 6" hidden="1">
              <a:extLst>
                <a:ext uri="{63B3BB69-23CF-44E3-9099-C40C66FF867C}">
                  <a14:compatExt spid="_x0000_s553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Click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16</xdr:row>
          <xdr:rowOff>0</xdr:rowOff>
        </xdr:from>
        <xdr:to>
          <xdr:col>4</xdr:col>
          <xdr:colOff>38100</xdr:colOff>
          <xdr:row>17</xdr:row>
          <xdr:rowOff>7620</xdr:rowOff>
        </xdr:to>
        <xdr:sp macro="" textlink="">
          <xdr:nvSpPr>
            <xdr:cNvPr id="55303" name="Drop Down 7" hidden="1">
              <a:extLst>
                <a:ext uri="{63B3BB69-23CF-44E3-9099-C40C66FF867C}">
                  <a14:compatExt spid="_x0000_s553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441960</xdr:colOff>
      <xdr:row>27</xdr:row>
      <xdr:rowOff>60960</xdr:rowOff>
    </xdr:from>
    <xdr:to>
      <xdr:col>2</xdr:col>
      <xdr:colOff>1135380</xdr:colOff>
      <xdr:row>27</xdr:row>
      <xdr:rowOff>129540</xdr:rowOff>
    </xdr:to>
    <xdr:cxnSp macro="">
      <xdr:nvCxnSpPr>
        <xdr:cNvPr id="12" name="Straight Arrow Connector 11"/>
        <xdr:cNvCxnSpPr/>
      </xdr:nvCxnSpPr>
      <xdr:spPr>
        <a:xfrm flipH="1" flipV="1">
          <a:off x="1661160" y="5455920"/>
          <a:ext cx="693420" cy="68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12</xdr:row>
          <xdr:rowOff>0</xdr:rowOff>
        </xdr:from>
        <xdr:to>
          <xdr:col>4</xdr:col>
          <xdr:colOff>15240</xdr:colOff>
          <xdr:row>13</xdr:row>
          <xdr:rowOff>0</xdr:rowOff>
        </xdr:to>
        <xdr:sp macro="" textlink="">
          <xdr:nvSpPr>
            <xdr:cNvPr id="55304" name="Drop Down 8" hidden="1">
              <a:extLst>
                <a:ext uri="{63B3BB69-23CF-44E3-9099-C40C66FF867C}">
                  <a14:compatExt spid="_x0000_s553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12</xdr:row>
          <xdr:rowOff>0</xdr:rowOff>
        </xdr:from>
        <xdr:to>
          <xdr:col>7</xdr:col>
          <xdr:colOff>7620</xdr:colOff>
          <xdr:row>12</xdr:row>
          <xdr:rowOff>175260</xdr:rowOff>
        </xdr:to>
        <xdr:sp macro="" textlink="">
          <xdr:nvSpPr>
            <xdr:cNvPr id="55305" name="Drop Down 9" hidden="1">
              <a:extLst>
                <a:ext uri="{63B3BB69-23CF-44E3-9099-C40C66FF867C}">
                  <a14:compatExt spid="_x0000_s553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68580</xdr:colOff>
      <xdr:row>12</xdr:row>
      <xdr:rowOff>60960</xdr:rowOff>
    </xdr:from>
    <xdr:to>
      <xdr:col>8</xdr:col>
      <xdr:colOff>99060</xdr:colOff>
      <xdr:row>12</xdr:row>
      <xdr:rowOff>106680</xdr:rowOff>
    </xdr:to>
    <xdr:cxnSp macro="">
      <xdr:nvCxnSpPr>
        <xdr:cNvPr id="3" name="Straight Arrow Connector 2"/>
        <xdr:cNvCxnSpPr/>
      </xdr:nvCxnSpPr>
      <xdr:spPr>
        <a:xfrm flipV="1">
          <a:off x="6652260" y="2346960"/>
          <a:ext cx="640080" cy="45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259080</xdr:colOff>
      <xdr:row>21</xdr:row>
      <xdr:rowOff>137160</xdr:rowOff>
    </xdr:from>
    <xdr:to>
      <xdr:col>17</xdr:col>
      <xdr:colOff>15240</xdr:colOff>
      <xdr:row>22</xdr:row>
      <xdr:rowOff>99060</xdr:rowOff>
    </xdr:to>
    <xdr:cxnSp macro="">
      <xdr:nvCxnSpPr>
        <xdr:cNvPr id="5" name="Straight Arrow Connector 4"/>
        <xdr:cNvCxnSpPr/>
      </xdr:nvCxnSpPr>
      <xdr:spPr>
        <a:xfrm flipV="1">
          <a:off x="12230100" y="4800600"/>
          <a:ext cx="1249680" cy="1447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</xdr:rowOff>
    </xdr:from>
    <xdr:to>
      <xdr:col>3</xdr:col>
      <xdr:colOff>457200</xdr:colOff>
      <xdr:row>2</xdr:row>
      <xdr:rowOff>21484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5060" y="1"/>
          <a:ext cx="457200" cy="57012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1</xdr:row>
          <xdr:rowOff>0</xdr:rowOff>
        </xdr:from>
        <xdr:to>
          <xdr:col>4</xdr:col>
          <xdr:colOff>381000</xdr:colOff>
          <xdr:row>1</xdr:row>
          <xdr:rowOff>175260</xdr:rowOff>
        </xdr:to>
        <xdr:sp macro="" textlink="">
          <xdr:nvSpPr>
            <xdr:cNvPr id="100353" name="Drop Down 1" hidden="1">
              <a:extLst>
                <a:ext uri="{63B3BB69-23CF-44E3-9099-C40C66FF867C}">
                  <a14:compatExt spid="_x0000_s1003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</xdr:row>
          <xdr:rowOff>7620</xdr:rowOff>
        </xdr:from>
        <xdr:to>
          <xdr:col>3</xdr:col>
          <xdr:colOff>1196340</xdr:colOff>
          <xdr:row>6</xdr:row>
          <xdr:rowOff>38100</xdr:rowOff>
        </xdr:to>
        <xdr:sp macro="" textlink="">
          <xdr:nvSpPr>
            <xdr:cNvPr id="102408" name="Check Box 8" hidden="1">
              <a:extLst>
                <a:ext uri="{63B3BB69-23CF-44E3-9099-C40C66FF867C}">
                  <a14:compatExt spid="_x0000_s1024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Click if same as Customer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</xdr:row>
          <xdr:rowOff>7620</xdr:rowOff>
        </xdr:from>
        <xdr:to>
          <xdr:col>7</xdr:col>
          <xdr:colOff>586740</xdr:colOff>
          <xdr:row>6</xdr:row>
          <xdr:rowOff>38100</xdr:rowOff>
        </xdr:to>
        <xdr:sp macro="" textlink="">
          <xdr:nvSpPr>
            <xdr:cNvPr id="102409" name="Check Box 9" hidden="1">
              <a:extLst>
                <a:ext uri="{63B3BB69-23CF-44E3-9099-C40C66FF867C}">
                  <a14:compatExt spid="_x0000_s1024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Click if same as Customer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</xdr:row>
          <xdr:rowOff>7620</xdr:rowOff>
        </xdr:from>
        <xdr:to>
          <xdr:col>7</xdr:col>
          <xdr:colOff>586740</xdr:colOff>
          <xdr:row>6</xdr:row>
          <xdr:rowOff>38100</xdr:rowOff>
        </xdr:to>
        <xdr:sp macro="" textlink="">
          <xdr:nvSpPr>
            <xdr:cNvPr id="102410" name="Check Box 10" hidden="1">
              <a:extLst>
                <a:ext uri="{63B3BB69-23CF-44E3-9099-C40C66FF867C}">
                  <a14:compatExt spid="_x0000_s1024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Click if same as Customer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2</xdr:row>
          <xdr:rowOff>0</xdr:rowOff>
        </xdr:from>
        <xdr:to>
          <xdr:col>4</xdr:col>
          <xdr:colOff>632460</xdr:colOff>
          <xdr:row>3</xdr:row>
          <xdr:rowOff>22860</xdr:rowOff>
        </xdr:to>
        <xdr:sp macro="" textlink="">
          <xdr:nvSpPr>
            <xdr:cNvPr id="102413" name="Button 13" hidden="1">
              <a:extLst>
                <a:ext uri="{63B3BB69-23CF-44E3-9099-C40C66FF867C}">
                  <a14:compatExt spid="_x0000_s1024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Select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1158240</xdr:colOff>
          <xdr:row>17</xdr:row>
          <xdr:rowOff>15240</xdr:rowOff>
        </xdr:from>
        <xdr:to>
          <xdr:col>3</xdr:col>
          <xdr:colOff>1516380</xdr:colOff>
          <xdr:row>18</xdr:row>
          <xdr:rowOff>22860</xdr:rowOff>
        </xdr:to>
        <xdr:sp macro="" textlink="">
          <xdr:nvSpPr>
            <xdr:cNvPr id="102414" name="Drop Down 14" hidden="1">
              <a:extLst>
                <a:ext uri="{63B3BB69-23CF-44E3-9099-C40C66FF867C}">
                  <a14:compatExt spid="_x0000_s1024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</xdr:row>
          <xdr:rowOff>7620</xdr:rowOff>
        </xdr:from>
        <xdr:to>
          <xdr:col>3</xdr:col>
          <xdr:colOff>1196340</xdr:colOff>
          <xdr:row>6</xdr:row>
          <xdr:rowOff>38100</xdr:rowOff>
        </xdr:to>
        <xdr:sp macro="" textlink="">
          <xdr:nvSpPr>
            <xdr:cNvPr id="165889" name="Check Box 1" hidden="1">
              <a:extLst>
                <a:ext uri="{63B3BB69-23CF-44E3-9099-C40C66FF867C}">
                  <a14:compatExt spid="_x0000_s1658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Click if same as Customer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</xdr:row>
          <xdr:rowOff>7620</xdr:rowOff>
        </xdr:from>
        <xdr:to>
          <xdr:col>7</xdr:col>
          <xdr:colOff>586740</xdr:colOff>
          <xdr:row>6</xdr:row>
          <xdr:rowOff>38100</xdr:rowOff>
        </xdr:to>
        <xdr:sp macro="" textlink="">
          <xdr:nvSpPr>
            <xdr:cNvPr id="165890" name="Check Box 2" hidden="1">
              <a:extLst>
                <a:ext uri="{63B3BB69-23CF-44E3-9099-C40C66FF867C}">
                  <a14:compatExt spid="_x0000_s1658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Click if same as Customer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</xdr:row>
          <xdr:rowOff>7620</xdr:rowOff>
        </xdr:from>
        <xdr:to>
          <xdr:col>7</xdr:col>
          <xdr:colOff>586740</xdr:colOff>
          <xdr:row>6</xdr:row>
          <xdr:rowOff>38100</xdr:rowOff>
        </xdr:to>
        <xdr:sp macro="" textlink="">
          <xdr:nvSpPr>
            <xdr:cNvPr id="165891" name="Check Box 3" hidden="1">
              <a:extLst>
                <a:ext uri="{63B3BB69-23CF-44E3-9099-C40C66FF867C}">
                  <a14:compatExt spid="_x0000_s1658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Click if same as Customer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2</xdr:row>
          <xdr:rowOff>0</xdr:rowOff>
        </xdr:from>
        <xdr:to>
          <xdr:col>4</xdr:col>
          <xdr:colOff>632460</xdr:colOff>
          <xdr:row>3</xdr:row>
          <xdr:rowOff>22860</xdr:rowOff>
        </xdr:to>
        <xdr:sp macro="" textlink="">
          <xdr:nvSpPr>
            <xdr:cNvPr id="165892" name="Button 4" hidden="1">
              <a:extLst>
                <a:ext uri="{63B3BB69-23CF-44E3-9099-C40C66FF867C}">
                  <a14:compatExt spid="_x0000_s1658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Select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1158240</xdr:colOff>
          <xdr:row>17</xdr:row>
          <xdr:rowOff>15240</xdr:rowOff>
        </xdr:from>
        <xdr:to>
          <xdr:col>3</xdr:col>
          <xdr:colOff>1516380</xdr:colOff>
          <xdr:row>18</xdr:row>
          <xdr:rowOff>22860</xdr:rowOff>
        </xdr:to>
        <xdr:sp macro="" textlink="">
          <xdr:nvSpPr>
            <xdr:cNvPr id="165893" name="Drop Down 5" hidden="1">
              <a:extLst>
                <a:ext uri="{63B3BB69-23CF-44E3-9099-C40C66FF867C}">
                  <a14:compatExt spid="_x0000_s1658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243840</xdr:colOff>
      <xdr:row>7</xdr:row>
      <xdr:rowOff>99060</xdr:rowOff>
    </xdr:from>
    <xdr:to>
      <xdr:col>13</xdr:col>
      <xdr:colOff>243840</xdr:colOff>
      <xdr:row>12</xdr:row>
      <xdr:rowOff>175260</xdr:rowOff>
    </xdr:to>
    <xdr:cxnSp macro="">
      <xdr:nvCxnSpPr>
        <xdr:cNvPr id="3" name="Straight Arrow Connector 2"/>
        <xdr:cNvCxnSpPr/>
      </xdr:nvCxnSpPr>
      <xdr:spPr>
        <a:xfrm>
          <a:off x="10553700" y="1379220"/>
          <a:ext cx="0" cy="990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297180</xdr:colOff>
      <xdr:row>8</xdr:row>
      <xdr:rowOff>7620</xdr:rowOff>
    </xdr:from>
    <xdr:to>
      <xdr:col>16</xdr:col>
      <xdr:colOff>304800</xdr:colOff>
      <xdr:row>11</xdr:row>
      <xdr:rowOff>76200</xdr:rowOff>
    </xdr:to>
    <xdr:cxnSp macro="">
      <xdr:nvCxnSpPr>
        <xdr:cNvPr id="5" name="Straight Arrow Connector 4"/>
        <xdr:cNvCxnSpPr/>
      </xdr:nvCxnSpPr>
      <xdr:spPr>
        <a:xfrm>
          <a:off x="12397740" y="1470660"/>
          <a:ext cx="7620" cy="6172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541020</xdr:colOff>
      <xdr:row>7</xdr:row>
      <xdr:rowOff>121920</xdr:rowOff>
    </xdr:from>
    <xdr:to>
      <xdr:col>2</xdr:col>
      <xdr:colOff>601980</xdr:colOff>
      <xdr:row>19</xdr:row>
      <xdr:rowOff>7620</xdr:rowOff>
    </xdr:to>
    <xdr:cxnSp macro="">
      <xdr:nvCxnSpPr>
        <xdr:cNvPr id="4" name="Straight Arrow Connector 3"/>
        <xdr:cNvCxnSpPr/>
      </xdr:nvCxnSpPr>
      <xdr:spPr>
        <a:xfrm flipH="1">
          <a:off x="1988820" y="1402080"/>
          <a:ext cx="60960" cy="2080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</xdr:row>
          <xdr:rowOff>7620</xdr:rowOff>
        </xdr:from>
        <xdr:to>
          <xdr:col>3</xdr:col>
          <xdr:colOff>1196340</xdr:colOff>
          <xdr:row>5</xdr:row>
          <xdr:rowOff>38100</xdr:rowOff>
        </xdr:to>
        <xdr:sp macro="" textlink="">
          <xdr:nvSpPr>
            <xdr:cNvPr id="104449" name="Check Box 1" hidden="1">
              <a:extLst>
                <a:ext uri="{63B3BB69-23CF-44E3-9099-C40C66FF867C}">
                  <a14:compatExt spid="_x0000_s1044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Click if same as Customer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7620</xdr:rowOff>
        </xdr:from>
        <xdr:to>
          <xdr:col>7</xdr:col>
          <xdr:colOff>586740</xdr:colOff>
          <xdr:row>5</xdr:row>
          <xdr:rowOff>38100</xdr:rowOff>
        </xdr:to>
        <xdr:sp macro="" textlink="">
          <xdr:nvSpPr>
            <xdr:cNvPr id="104450" name="Check Box 2" hidden="1">
              <a:extLst>
                <a:ext uri="{63B3BB69-23CF-44E3-9099-C40C66FF867C}">
                  <a14:compatExt spid="_x0000_s1044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Click if same as Customer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7620</xdr:rowOff>
        </xdr:from>
        <xdr:to>
          <xdr:col>7</xdr:col>
          <xdr:colOff>586740</xdr:colOff>
          <xdr:row>5</xdr:row>
          <xdr:rowOff>38100</xdr:rowOff>
        </xdr:to>
        <xdr:sp macro="" textlink="">
          <xdr:nvSpPr>
            <xdr:cNvPr id="104451" name="Check Box 3" hidden="1">
              <a:extLst>
                <a:ext uri="{63B3BB69-23CF-44E3-9099-C40C66FF867C}">
                  <a14:compatExt spid="_x0000_s1044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Click if same as Customer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1</xdr:row>
          <xdr:rowOff>0</xdr:rowOff>
        </xdr:from>
        <xdr:to>
          <xdr:col>4</xdr:col>
          <xdr:colOff>632460</xdr:colOff>
          <xdr:row>2</xdr:row>
          <xdr:rowOff>22860</xdr:rowOff>
        </xdr:to>
        <xdr:sp macro="" textlink="">
          <xdr:nvSpPr>
            <xdr:cNvPr id="104452" name="Button 4" hidden="1">
              <a:extLst>
                <a:ext uri="{63B3BB69-23CF-44E3-9099-C40C66FF867C}">
                  <a14:compatExt spid="_x0000_s1044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Select</a:t>
              </a:r>
            </a:p>
          </xdr:txBody>
        </xdr:sp>
        <xdr:clientData fPrintsWithSheet="0"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24</xdr:row>
          <xdr:rowOff>7620</xdr:rowOff>
        </xdr:from>
        <xdr:to>
          <xdr:col>3</xdr:col>
          <xdr:colOff>982980</xdr:colOff>
          <xdr:row>25</xdr:row>
          <xdr:rowOff>0</xdr:rowOff>
        </xdr:to>
        <xdr:sp macro="" textlink="">
          <xdr:nvSpPr>
            <xdr:cNvPr id="105474" name="Drop Down 2" hidden="1">
              <a:extLst>
                <a:ext uri="{63B3BB69-23CF-44E3-9099-C40C66FF867C}">
                  <a14:compatExt spid="_x0000_s1054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36</xdr:row>
          <xdr:rowOff>7620</xdr:rowOff>
        </xdr:from>
        <xdr:to>
          <xdr:col>3</xdr:col>
          <xdr:colOff>982980</xdr:colOff>
          <xdr:row>37</xdr:row>
          <xdr:rowOff>0</xdr:rowOff>
        </xdr:to>
        <xdr:sp macro="" textlink="">
          <xdr:nvSpPr>
            <xdr:cNvPr id="105477" name="Drop Down 5" hidden="1">
              <a:extLst>
                <a:ext uri="{63B3BB69-23CF-44E3-9099-C40C66FF867C}">
                  <a14:compatExt spid="_x0000_s1054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243840</xdr:colOff>
      <xdr:row>12</xdr:row>
      <xdr:rowOff>114300</xdr:rowOff>
    </xdr:from>
    <xdr:to>
      <xdr:col>3</xdr:col>
      <xdr:colOff>129540</xdr:colOff>
      <xdr:row>20</xdr:row>
      <xdr:rowOff>114300</xdr:rowOff>
    </xdr:to>
    <xdr:cxnSp macro="">
      <xdr:nvCxnSpPr>
        <xdr:cNvPr id="3" name="Straight Arrow Connector 2"/>
        <xdr:cNvCxnSpPr/>
      </xdr:nvCxnSpPr>
      <xdr:spPr>
        <a:xfrm flipH="1">
          <a:off x="2232660" y="2308860"/>
          <a:ext cx="1226820" cy="1828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1021080</xdr:colOff>
      <xdr:row>13</xdr:row>
      <xdr:rowOff>114300</xdr:rowOff>
    </xdr:from>
    <xdr:to>
      <xdr:col>3</xdr:col>
      <xdr:colOff>457200</xdr:colOff>
      <xdr:row>31</xdr:row>
      <xdr:rowOff>144780</xdr:rowOff>
    </xdr:to>
    <xdr:cxnSp macro="">
      <xdr:nvCxnSpPr>
        <xdr:cNvPr id="5" name="Straight Arrow Connector 4"/>
        <xdr:cNvCxnSpPr/>
      </xdr:nvCxnSpPr>
      <xdr:spPr>
        <a:xfrm flipH="1">
          <a:off x="3009900" y="2491740"/>
          <a:ext cx="777240" cy="3688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25</xdr:row>
          <xdr:rowOff>7620</xdr:rowOff>
        </xdr:from>
        <xdr:to>
          <xdr:col>3</xdr:col>
          <xdr:colOff>982980</xdr:colOff>
          <xdr:row>26</xdr:row>
          <xdr:rowOff>0</xdr:rowOff>
        </xdr:to>
        <xdr:sp macro="" textlink="">
          <xdr:nvSpPr>
            <xdr:cNvPr id="166913" name="Drop Down 1" hidden="1">
              <a:extLst>
                <a:ext uri="{63B3BB69-23CF-44E3-9099-C40C66FF867C}">
                  <a14:compatExt spid="_x0000_s1669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38</xdr:row>
          <xdr:rowOff>7620</xdr:rowOff>
        </xdr:from>
        <xdr:to>
          <xdr:col>3</xdr:col>
          <xdr:colOff>982980</xdr:colOff>
          <xdr:row>39</xdr:row>
          <xdr:rowOff>0</xdr:rowOff>
        </xdr:to>
        <xdr:sp macro="" textlink="">
          <xdr:nvSpPr>
            <xdr:cNvPr id="166914" name="Drop Down 2" hidden="1">
              <a:extLst>
                <a:ext uri="{63B3BB69-23CF-44E3-9099-C40C66FF867C}">
                  <a14:compatExt spid="_x0000_s1669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243840</xdr:colOff>
      <xdr:row>12</xdr:row>
      <xdr:rowOff>114300</xdr:rowOff>
    </xdr:from>
    <xdr:to>
      <xdr:col>3</xdr:col>
      <xdr:colOff>129540</xdr:colOff>
      <xdr:row>21</xdr:row>
      <xdr:rowOff>114300</xdr:rowOff>
    </xdr:to>
    <xdr:cxnSp macro="">
      <xdr:nvCxnSpPr>
        <xdr:cNvPr id="4" name="Straight Arrow Connector 3"/>
        <xdr:cNvCxnSpPr/>
      </xdr:nvCxnSpPr>
      <xdr:spPr>
        <a:xfrm flipH="1">
          <a:off x="2232660" y="2308860"/>
          <a:ext cx="1226820" cy="1828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1021080</xdr:colOff>
      <xdr:row>13</xdr:row>
      <xdr:rowOff>114300</xdr:rowOff>
    </xdr:from>
    <xdr:to>
      <xdr:col>3</xdr:col>
      <xdr:colOff>457200</xdr:colOff>
      <xdr:row>33</xdr:row>
      <xdr:rowOff>144780</xdr:rowOff>
    </xdr:to>
    <xdr:cxnSp macro="">
      <xdr:nvCxnSpPr>
        <xdr:cNvPr id="5" name="Straight Arrow Connector 4"/>
        <xdr:cNvCxnSpPr/>
      </xdr:nvCxnSpPr>
      <xdr:spPr>
        <a:xfrm flipH="1">
          <a:off x="3009900" y="2491740"/>
          <a:ext cx="777240" cy="3688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38</xdr:row>
          <xdr:rowOff>7620</xdr:rowOff>
        </xdr:from>
        <xdr:to>
          <xdr:col>3</xdr:col>
          <xdr:colOff>982980</xdr:colOff>
          <xdr:row>39</xdr:row>
          <xdr:rowOff>0</xdr:rowOff>
        </xdr:to>
        <xdr:sp macro="" textlink="">
          <xdr:nvSpPr>
            <xdr:cNvPr id="166920" name="Drop Down 8" hidden="1">
              <a:extLst>
                <a:ext uri="{63B3BB69-23CF-44E3-9099-C40C66FF867C}">
                  <a14:compatExt spid="_x0000_s1669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5</xdr:row>
      <xdr:rowOff>91440</xdr:rowOff>
    </xdr:from>
    <xdr:to>
      <xdr:col>3</xdr:col>
      <xdr:colOff>274320</xdr:colOff>
      <xdr:row>9</xdr:row>
      <xdr:rowOff>53340</xdr:rowOff>
    </xdr:to>
    <xdr:cxnSp macro="">
      <xdr:nvCxnSpPr>
        <xdr:cNvPr id="3" name="Straight Arrow Connector 2"/>
        <xdr:cNvCxnSpPr/>
      </xdr:nvCxnSpPr>
      <xdr:spPr>
        <a:xfrm flipH="1">
          <a:off x="3589020" y="1005840"/>
          <a:ext cx="15240" cy="6934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1135380</xdr:colOff>
          <xdr:row>19</xdr:row>
          <xdr:rowOff>541020</xdr:rowOff>
        </xdr:from>
        <xdr:to>
          <xdr:col>2</xdr:col>
          <xdr:colOff>464820</xdr:colOff>
          <xdr:row>21</xdr:row>
          <xdr:rowOff>22860</xdr:rowOff>
        </xdr:to>
        <xdr:sp macro="" textlink="">
          <xdr:nvSpPr>
            <xdr:cNvPr id="106502" name="Check Box 6" hidden="1">
              <a:extLst>
                <a:ext uri="{63B3BB69-23CF-44E3-9099-C40C66FF867C}">
                  <a14:compatExt spid="_x0000_s1065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1135380</xdr:colOff>
          <xdr:row>21</xdr:row>
          <xdr:rowOff>15240</xdr:rowOff>
        </xdr:from>
        <xdr:to>
          <xdr:col>2</xdr:col>
          <xdr:colOff>464820</xdr:colOff>
          <xdr:row>22</xdr:row>
          <xdr:rowOff>45720</xdr:rowOff>
        </xdr:to>
        <xdr:sp macro="" textlink="">
          <xdr:nvSpPr>
            <xdr:cNvPr id="106503" name="Check Box 7" hidden="1">
              <a:extLst>
                <a:ext uri="{63B3BB69-23CF-44E3-9099-C40C66FF867C}">
                  <a14:compatExt spid="_x0000_s1065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1150620</xdr:colOff>
          <xdr:row>19</xdr:row>
          <xdr:rowOff>236220</xdr:rowOff>
        </xdr:from>
        <xdr:to>
          <xdr:col>2</xdr:col>
          <xdr:colOff>480060</xdr:colOff>
          <xdr:row>19</xdr:row>
          <xdr:rowOff>449580</xdr:rowOff>
        </xdr:to>
        <xdr:sp macro="" textlink="">
          <xdr:nvSpPr>
            <xdr:cNvPr id="106504" name="Check Box 8" hidden="1">
              <a:extLst>
                <a:ext uri="{63B3BB69-23CF-44E3-9099-C40C66FF867C}">
                  <a14:compatExt spid="_x0000_s1065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998220</xdr:colOff>
      <xdr:row>31</xdr:row>
      <xdr:rowOff>152400</xdr:rowOff>
    </xdr:from>
    <xdr:to>
      <xdr:col>9</xdr:col>
      <xdr:colOff>213360</xdr:colOff>
      <xdr:row>32</xdr:row>
      <xdr:rowOff>160020</xdr:rowOff>
    </xdr:to>
    <xdr:cxnSp macro="">
      <xdr:nvCxnSpPr>
        <xdr:cNvPr id="11" name="Straight Arrow Connector 10"/>
        <xdr:cNvCxnSpPr/>
      </xdr:nvCxnSpPr>
      <xdr:spPr>
        <a:xfrm flipH="1">
          <a:off x="2987040" y="6187440"/>
          <a:ext cx="589788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5</xdr:row>
      <xdr:rowOff>91440</xdr:rowOff>
    </xdr:from>
    <xdr:to>
      <xdr:col>3</xdr:col>
      <xdr:colOff>274320</xdr:colOff>
      <xdr:row>9</xdr:row>
      <xdr:rowOff>53340</xdr:rowOff>
    </xdr:to>
    <xdr:cxnSp macro="">
      <xdr:nvCxnSpPr>
        <xdr:cNvPr id="2" name="Straight Arrow Connector 1"/>
        <xdr:cNvCxnSpPr/>
      </xdr:nvCxnSpPr>
      <xdr:spPr>
        <a:xfrm flipH="1">
          <a:off x="3589020" y="1005840"/>
          <a:ext cx="15240" cy="6934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1135380</xdr:colOff>
          <xdr:row>19</xdr:row>
          <xdr:rowOff>541020</xdr:rowOff>
        </xdr:from>
        <xdr:to>
          <xdr:col>2</xdr:col>
          <xdr:colOff>464820</xdr:colOff>
          <xdr:row>21</xdr:row>
          <xdr:rowOff>22860</xdr:rowOff>
        </xdr:to>
        <xdr:sp macro="" textlink="">
          <xdr:nvSpPr>
            <xdr:cNvPr id="167937" name="Check Box 1" hidden="1">
              <a:extLst>
                <a:ext uri="{63B3BB69-23CF-44E3-9099-C40C66FF867C}">
                  <a14:compatExt spid="_x0000_s1679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1135380</xdr:colOff>
          <xdr:row>21</xdr:row>
          <xdr:rowOff>15240</xdr:rowOff>
        </xdr:from>
        <xdr:to>
          <xdr:col>2</xdr:col>
          <xdr:colOff>464820</xdr:colOff>
          <xdr:row>22</xdr:row>
          <xdr:rowOff>45720</xdr:rowOff>
        </xdr:to>
        <xdr:sp macro="" textlink="">
          <xdr:nvSpPr>
            <xdr:cNvPr id="167938" name="Check Box 2" hidden="1">
              <a:extLst>
                <a:ext uri="{63B3BB69-23CF-44E3-9099-C40C66FF867C}">
                  <a14:compatExt spid="_x0000_s1679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1150620</xdr:colOff>
          <xdr:row>19</xdr:row>
          <xdr:rowOff>236220</xdr:rowOff>
        </xdr:from>
        <xdr:to>
          <xdr:col>2</xdr:col>
          <xdr:colOff>480060</xdr:colOff>
          <xdr:row>19</xdr:row>
          <xdr:rowOff>449580</xdr:rowOff>
        </xdr:to>
        <xdr:sp macro="" textlink="">
          <xdr:nvSpPr>
            <xdr:cNvPr id="167939" name="Check Box 3" hidden="1">
              <a:extLst>
                <a:ext uri="{63B3BB69-23CF-44E3-9099-C40C66FF867C}">
                  <a14:compatExt spid="_x0000_s1679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998220</xdr:colOff>
      <xdr:row>31</xdr:row>
      <xdr:rowOff>152400</xdr:rowOff>
    </xdr:from>
    <xdr:to>
      <xdr:col>9</xdr:col>
      <xdr:colOff>213360</xdr:colOff>
      <xdr:row>32</xdr:row>
      <xdr:rowOff>160020</xdr:rowOff>
    </xdr:to>
    <xdr:cxnSp macro="">
      <xdr:nvCxnSpPr>
        <xdr:cNvPr id="6" name="Straight Arrow Connector 5"/>
        <xdr:cNvCxnSpPr/>
      </xdr:nvCxnSpPr>
      <xdr:spPr>
        <a:xfrm flipH="1">
          <a:off x="2987040" y="6187440"/>
          <a:ext cx="589788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480060</xdr:colOff>
      <xdr:row>0</xdr:row>
      <xdr:rowOff>0</xdr:rowOff>
    </xdr:from>
    <xdr:to>
      <xdr:col>2</xdr:col>
      <xdr:colOff>1059180</xdr:colOff>
      <xdr:row>3</xdr:row>
      <xdr:rowOff>28736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" y="0"/>
          <a:ext cx="579120" cy="72215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23</xdr:row>
          <xdr:rowOff>15240</xdr:rowOff>
        </xdr:from>
        <xdr:to>
          <xdr:col>4</xdr:col>
          <xdr:colOff>15240</xdr:colOff>
          <xdr:row>24</xdr:row>
          <xdr:rowOff>45720</xdr:rowOff>
        </xdr:to>
        <xdr:sp macro="" textlink="">
          <xdr:nvSpPr>
            <xdr:cNvPr id="124929" name="Drop Down 1" hidden="1">
              <a:extLst>
                <a:ext uri="{63B3BB69-23CF-44E3-9099-C40C66FF867C}">
                  <a14:compatExt spid="_x0000_s1249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480060</xdr:colOff>
      <xdr:row>0</xdr:row>
      <xdr:rowOff>0</xdr:rowOff>
    </xdr:from>
    <xdr:to>
      <xdr:col>2</xdr:col>
      <xdr:colOff>1059180</xdr:colOff>
      <xdr:row>3</xdr:row>
      <xdr:rowOff>28736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" y="0"/>
          <a:ext cx="579120" cy="72215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23</xdr:row>
          <xdr:rowOff>15240</xdr:rowOff>
        </xdr:from>
        <xdr:to>
          <xdr:col>4</xdr:col>
          <xdr:colOff>15240</xdr:colOff>
          <xdr:row>24</xdr:row>
          <xdr:rowOff>45720</xdr:rowOff>
        </xdr:to>
        <xdr:sp macro="" textlink="">
          <xdr:nvSpPr>
            <xdr:cNvPr id="168961" name="Drop Down 1" hidden="1">
              <a:extLst>
                <a:ext uri="{63B3BB69-23CF-44E3-9099-C40C66FF867C}">
                  <a14:compatExt spid="_x0000_s1689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472440</xdr:colOff>
      <xdr:row>21</xdr:row>
      <xdr:rowOff>0</xdr:rowOff>
    </xdr:from>
    <xdr:to>
      <xdr:col>7</xdr:col>
      <xdr:colOff>472440</xdr:colOff>
      <xdr:row>22</xdr:row>
      <xdr:rowOff>106680</xdr:rowOff>
    </xdr:to>
    <xdr:cxnSp macro="">
      <xdr:nvCxnSpPr>
        <xdr:cNvPr id="7" name="Straight Arrow Connector 6"/>
        <xdr:cNvCxnSpPr/>
      </xdr:nvCxnSpPr>
      <xdr:spPr>
        <a:xfrm>
          <a:off x="5585460" y="4023360"/>
          <a:ext cx="0" cy="289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14</xdr:row>
          <xdr:rowOff>22860</xdr:rowOff>
        </xdr:from>
        <xdr:to>
          <xdr:col>2</xdr:col>
          <xdr:colOff>960120</xdr:colOff>
          <xdr:row>15</xdr:row>
          <xdr:rowOff>7620</xdr:rowOff>
        </xdr:to>
        <xdr:sp macro="" textlink="">
          <xdr:nvSpPr>
            <xdr:cNvPr id="143361" name="Drop Down 1" hidden="1">
              <a:extLst>
                <a:ext uri="{63B3BB69-23CF-44E3-9099-C40C66FF867C}">
                  <a14:compatExt spid="_x0000_s1433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7</xdr:row>
      <xdr:rowOff>7620</xdr:rowOff>
    </xdr:from>
    <xdr:to>
      <xdr:col>18</xdr:col>
      <xdr:colOff>144780</xdr:colOff>
      <xdr:row>12</xdr:row>
      <xdr:rowOff>121920</xdr:rowOff>
    </xdr:to>
    <xdr:cxnSp macro="">
      <xdr:nvCxnSpPr>
        <xdr:cNvPr id="2" name="Straight Arrow Connector 1"/>
        <xdr:cNvCxnSpPr/>
      </xdr:nvCxnSpPr>
      <xdr:spPr>
        <a:xfrm flipH="1">
          <a:off x="2712720" y="1287780"/>
          <a:ext cx="8001000" cy="1028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182880</xdr:colOff>
          <xdr:row>12</xdr:row>
          <xdr:rowOff>7620</xdr:rowOff>
        </xdr:from>
        <xdr:to>
          <xdr:col>3</xdr:col>
          <xdr:colOff>121920</xdr:colOff>
          <xdr:row>13</xdr:row>
          <xdr:rowOff>30480</xdr:rowOff>
        </xdr:to>
        <xdr:sp macro="" textlink="">
          <xdr:nvSpPr>
            <xdr:cNvPr id="198658" name="Drop Down 2" hidden="1">
              <a:extLst>
                <a:ext uri="{63B3BB69-23CF-44E3-9099-C40C66FF867C}">
                  <a14:compatExt spid="_x0000_s1986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510540</xdr:colOff>
      <xdr:row>13</xdr:row>
      <xdr:rowOff>60960</xdr:rowOff>
    </xdr:from>
    <xdr:to>
      <xdr:col>2</xdr:col>
      <xdr:colOff>350520</xdr:colOff>
      <xdr:row>22</xdr:row>
      <xdr:rowOff>99060</xdr:rowOff>
    </xdr:to>
    <xdr:cxnSp macro="">
      <xdr:nvCxnSpPr>
        <xdr:cNvPr id="7" name="Straight Arrow Connector 6"/>
        <xdr:cNvCxnSpPr/>
      </xdr:nvCxnSpPr>
      <xdr:spPr>
        <a:xfrm flipH="1">
          <a:off x="1120140" y="2438400"/>
          <a:ext cx="701040" cy="1866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167640</xdr:colOff>
      <xdr:row>17</xdr:row>
      <xdr:rowOff>129540</xdr:rowOff>
    </xdr:from>
    <xdr:to>
      <xdr:col>17</xdr:col>
      <xdr:colOff>60960</xdr:colOff>
      <xdr:row>27</xdr:row>
      <xdr:rowOff>114300</xdr:rowOff>
    </xdr:to>
    <xdr:cxnSp macro="">
      <xdr:nvCxnSpPr>
        <xdr:cNvPr id="4" name="Straight Arrow Connector 3"/>
        <xdr:cNvCxnSpPr/>
      </xdr:nvCxnSpPr>
      <xdr:spPr>
        <a:xfrm flipH="1">
          <a:off x="6682740" y="3421380"/>
          <a:ext cx="3459480" cy="1813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487680</xdr:colOff>
      <xdr:row>6</xdr:row>
      <xdr:rowOff>106680</xdr:rowOff>
    </xdr:from>
    <xdr:to>
      <xdr:col>13</xdr:col>
      <xdr:colOff>190500</xdr:colOff>
      <xdr:row>12</xdr:row>
      <xdr:rowOff>99060</xdr:rowOff>
    </xdr:to>
    <xdr:cxnSp macro="">
      <xdr:nvCxnSpPr>
        <xdr:cNvPr id="6" name="Straight Arrow Connector 5"/>
        <xdr:cNvCxnSpPr/>
      </xdr:nvCxnSpPr>
      <xdr:spPr>
        <a:xfrm flipH="1">
          <a:off x="3672840" y="1203960"/>
          <a:ext cx="6492240" cy="1089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320040</xdr:colOff>
      <xdr:row>6</xdr:row>
      <xdr:rowOff>152400</xdr:rowOff>
    </xdr:from>
    <xdr:to>
      <xdr:col>14</xdr:col>
      <xdr:colOff>220980</xdr:colOff>
      <xdr:row>14</xdr:row>
      <xdr:rowOff>53340</xdr:rowOff>
    </xdr:to>
    <xdr:cxnSp macro="">
      <xdr:nvCxnSpPr>
        <xdr:cNvPr id="8" name="Straight Arrow Connector 7"/>
        <xdr:cNvCxnSpPr/>
      </xdr:nvCxnSpPr>
      <xdr:spPr>
        <a:xfrm flipH="1">
          <a:off x="10294620" y="1249680"/>
          <a:ext cx="662940" cy="13639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6</xdr:row>
      <xdr:rowOff>175260</xdr:rowOff>
    </xdr:from>
    <xdr:to>
      <xdr:col>13</xdr:col>
      <xdr:colOff>312420</xdr:colOff>
      <xdr:row>11</xdr:row>
      <xdr:rowOff>99060</xdr:rowOff>
    </xdr:to>
    <xdr:cxnSp macro="">
      <xdr:nvCxnSpPr>
        <xdr:cNvPr id="2" name="Straight Arrow Connector 1"/>
        <xdr:cNvCxnSpPr/>
      </xdr:nvCxnSpPr>
      <xdr:spPr>
        <a:xfrm flipH="1">
          <a:off x="2933700" y="1272540"/>
          <a:ext cx="7315200" cy="838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320040</xdr:colOff>
      <xdr:row>14</xdr:row>
      <xdr:rowOff>45720</xdr:rowOff>
    </xdr:from>
    <xdr:to>
      <xdr:col>15</xdr:col>
      <xdr:colOff>769620</xdr:colOff>
      <xdr:row>16</xdr:row>
      <xdr:rowOff>289560</xdr:rowOff>
    </xdr:to>
    <xdr:cxnSp macro="">
      <xdr:nvCxnSpPr>
        <xdr:cNvPr id="4" name="Straight Arrow Connector 3"/>
        <xdr:cNvCxnSpPr/>
      </xdr:nvCxnSpPr>
      <xdr:spPr>
        <a:xfrm flipV="1">
          <a:off x="11772900" y="2606040"/>
          <a:ext cx="449580" cy="609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6</xdr:row>
      <xdr:rowOff>175260</xdr:rowOff>
    </xdr:from>
    <xdr:to>
      <xdr:col>13</xdr:col>
      <xdr:colOff>312420</xdr:colOff>
      <xdr:row>11</xdr:row>
      <xdr:rowOff>99060</xdr:rowOff>
    </xdr:to>
    <xdr:cxnSp macro="">
      <xdr:nvCxnSpPr>
        <xdr:cNvPr id="2" name="Straight Arrow Connector 1"/>
        <xdr:cNvCxnSpPr/>
      </xdr:nvCxnSpPr>
      <xdr:spPr>
        <a:xfrm flipH="1">
          <a:off x="2933700" y="1272540"/>
          <a:ext cx="7315200" cy="838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</xdr:colOff>
          <xdr:row>6</xdr:row>
          <xdr:rowOff>7620</xdr:rowOff>
        </xdr:from>
        <xdr:to>
          <xdr:col>15</xdr:col>
          <xdr:colOff>0</xdr:colOff>
          <xdr:row>6</xdr:row>
          <xdr:rowOff>175260</xdr:rowOff>
        </xdr:to>
        <xdr:sp macro="" textlink="">
          <xdr:nvSpPr>
            <xdr:cNvPr id="318465" name="Drop Down 1" hidden="1">
              <a:extLst>
                <a:ext uri="{63B3BB69-23CF-44E3-9099-C40C66FF867C}">
                  <a14:compatExt spid="_x0000_s3184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14</xdr:col>
      <xdr:colOff>365760</xdr:colOff>
      <xdr:row>7</xdr:row>
      <xdr:rowOff>30480</xdr:rowOff>
    </xdr:from>
    <xdr:to>
      <xdr:col>14</xdr:col>
      <xdr:colOff>365760</xdr:colOff>
      <xdr:row>10</xdr:row>
      <xdr:rowOff>144780</xdr:rowOff>
    </xdr:to>
    <xdr:cxnSp macro="">
      <xdr:nvCxnSpPr>
        <xdr:cNvPr id="5" name="Straight Arrow Connector 4"/>
        <xdr:cNvCxnSpPr/>
      </xdr:nvCxnSpPr>
      <xdr:spPr>
        <a:xfrm>
          <a:off x="11361420" y="1310640"/>
          <a:ext cx="0" cy="662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274320</xdr:colOff>
      <xdr:row>6</xdr:row>
      <xdr:rowOff>129540</xdr:rowOff>
    </xdr:from>
    <xdr:to>
      <xdr:col>13</xdr:col>
      <xdr:colOff>228600</xdr:colOff>
      <xdr:row>13</xdr:row>
      <xdr:rowOff>160020</xdr:rowOff>
    </xdr:to>
    <xdr:cxnSp macro="">
      <xdr:nvCxnSpPr>
        <xdr:cNvPr id="7" name="Straight Arrow Connector 6"/>
        <xdr:cNvCxnSpPr/>
      </xdr:nvCxnSpPr>
      <xdr:spPr>
        <a:xfrm flipH="1">
          <a:off x="9776460" y="1226820"/>
          <a:ext cx="701040" cy="1310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</xdr:colOff>
          <xdr:row>6</xdr:row>
          <xdr:rowOff>7620</xdr:rowOff>
        </xdr:from>
        <xdr:to>
          <xdr:col>13</xdr:col>
          <xdr:colOff>0</xdr:colOff>
          <xdr:row>6</xdr:row>
          <xdr:rowOff>175260</xdr:rowOff>
        </xdr:to>
        <xdr:sp macro="" textlink="">
          <xdr:nvSpPr>
            <xdr:cNvPr id="330753" name="Drop Down 1" hidden="1">
              <a:extLst>
                <a:ext uri="{63B3BB69-23CF-44E3-9099-C40C66FF867C}">
                  <a14:compatExt spid="_x0000_s3307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12</xdr:col>
      <xdr:colOff>365760</xdr:colOff>
      <xdr:row>7</xdr:row>
      <xdr:rowOff>30480</xdr:rowOff>
    </xdr:from>
    <xdr:to>
      <xdr:col>12</xdr:col>
      <xdr:colOff>365760</xdr:colOff>
      <xdr:row>10</xdr:row>
      <xdr:rowOff>144780</xdr:rowOff>
    </xdr:to>
    <xdr:cxnSp macro="">
      <xdr:nvCxnSpPr>
        <xdr:cNvPr id="3" name="Straight Arrow Connector 2"/>
        <xdr:cNvCxnSpPr/>
      </xdr:nvCxnSpPr>
      <xdr:spPr>
        <a:xfrm>
          <a:off x="11361420" y="1310640"/>
          <a:ext cx="0" cy="662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274320</xdr:colOff>
      <xdr:row>6</xdr:row>
      <xdr:rowOff>129540</xdr:rowOff>
    </xdr:from>
    <xdr:to>
      <xdr:col>11</xdr:col>
      <xdr:colOff>228600</xdr:colOff>
      <xdr:row>13</xdr:row>
      <xdr:rowOff>160020</xdr:rowOff>
    </xdr:to>
    <xdr:cxnSp macro="">
      <xdr:nvCxnSpPr>
        <xdr:cNvPr id="4" name="Straight Arrow Connector 3"/>
        <xdr:cNvCxnSpPr/>
      </xdr:nvCxnSpPr>
      <xdr:spPr>
        <a:xfrm flipH="1">
          <a:off x="9776460" y="1226820"/>
          <a:ext cx="701040" cy="1310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1005840</xdr:colOff>
      <xdr:row>6</xdr:row>
      <xdr:rowOff>144780</xdr:rowOff>
    </xdr:from>
    <xdr:to>
      <xdr:col>15</xdr:col>
      <xdr:colOff>137160</xdr:colOff>
      <xdr:row>13</xdr:row>
      <xdr:rowOff>152400</xdr:rowOff>
    </xdr:to>
    <xdr:cxnSp macro="">
      <xdr:nvCxnSpPr>
        <xdr:cNvPr id="5" name="Straight Arrow Connector 4"/>
        <xdr:cNvCxnSpPr/>
      </xdr:nvCxnSpPr>
      <xdr:spPr>
        <a:xfrm flipH="1">
          <a:off x="3337560" y="1242060"/>
          <a:ext cx="8542020" cy="12877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601980</xdr:colOff>
          <xdr:row>16</xdr:row>
          <xdr:rowOff>106680</xdr:rowOff>
        </xdr:from>
        <xdr:to>
          <xdr:col>3</xdr:col>
          <xdr:colOff>137160</xdr:colOff>
          <xdr:row>17</xdr:row>
          <xdr:rowOff>38100</xdr:rowOff>
        </xdr:to>
        <xdr:sp macro="" textlink="">
          <xdr:nvSpPr>
            <xdr:cNvPr id="411650" name="Check Box 2" hidden="1">
              <a:extLst>
                <a:ext uri="{63B3BB69-23CF-44E3-9099-C40C66FF867C}">
                  <a14:compatExt spid="_x0000_s4116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601980</xdr:colOff>
          <xdr:row>17</xdr:row>
          <xdr:rowOff>106680</xdr:rowOff>
        </xdr:from>
        <xdr:to>
          <xdr:col>3</xdr:col>
          <xdr:colOff>137160</xdr:colOff>
          <xdr:row>18</xdr:row>
          <xdr:rowOff>38100</xdr:rowOff>
        </xdr:to>
        <xdr:sp macro="" textlink="">
          <xdr:nvSpPr>
            <xdr:cNvPr id="411651" name="Check Box 3" hidden="1">
              <a:extLst>
                <a:ext uri="{63B3BB69-23CF-44E3-9099-C40C66FF867C}">
                  <a14:compatExt spid="_x0000_s4116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601980</xdr:colOff>
          <xdr:row>18</xdr:row>
          <xdr:rowOff>106680</xdr:rowOff>
        </xdr:from>
        <xdr:to>
          <xdr:col>3</xdr:col>
          <xdr:colOff>137160</xdr:colOff>
          <xdr:row>19</xdr:row>
          <xdr:rowOff>38100</xdr:rowOff>
        </xdr:to>
        <xdr:sp macro="" textlink="">
          <xdr:nvSpPr>
            <xdr:cNvPr id="411652" name="Check Box 4" hidden="1">
              <a:extLst>
                <a:ext uri="{63B3BB69-23CF-44E3-9099-C40C66FF867C}">
                  <a14:compatExt spid="_x0000_s4116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601980</xdr:colOff>
          <xdr:row>19</xdr:row>
          <xdr:rowOff>106680</xdr:rowOff>
        </xdr:from>
        <xdr:to>
          <xdr:col>3</xdr:col>
          <xdr:colOff>137160</xdr:colOff>
          <xdr:row>20</xdr:row>
          <xdr:rowOff>38100</xdr:rowOff>
        </xdr:to>
        <xdr:sp macro="" textlink="">
          <xdr:nvSpPr>
            <xdr:cNvPr id="411653" name="Check Box 5" hidden="1">
              <a:extLst>
                <a:ext uri="{63B3BB69-23CF-44E3-9099-C40C66FF867C}">
                  <a14:compatExt spid="_x0000_s4116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601980</xdr:colOff>
          <xdr:row>20</xdr:row>
          <xdr:rowOff>106680</xdr:rowOff>
        </xdr:from>
        <xdr:to>
          <xdr:col>3</xdr:col>
          <xdr:colOff>137160</xdr:colOff>
          <xdr:row>21</xdr:row>
          <xdr:rowOff>38100</xdr:rowOff>
        </xdr:to>
        <xdr:sp macro="" textlink="">
          <xdr:nvSpPr>
            <xdr:cNvPr id="411654" name="Check Box 6" hidden="1">
              <a:extLst>
                <a:ext uri="{63B3BB69-23CF-44E3-9099-C40C66FF867C}">
                  <a14:compatExt spid="_x0000_s4116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601980</xdr:colOff>
          <xdr:row>21</xdr:row>
          <xdr:rowOff>106680</xdr:rowOff>
        </xdr:from>
        <xdr:to>
          <xdr:col>3</xdr:col>
          <xdr:colOff>137160</xdr:colOff>
          <xdr:row>22</xdr:row>
          <xdr:rowOff>38100</xdr:rowOff>
        </xdr:to>
        <xdr:sp macro="" textlink="">
          <xdr:nvSpPr>
            <xdr:cNvPr id="411655" name="Check Box 7" hidden="1">
              <a:extLst>
                <a:ext uri="{63B3BB69-23CF-44E3-9099-C40C66FF867C}">
                  <a14:compatExt spid="_x0000_s4116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601980</xdr:colOff>
          <xdr:row>22</xdr:row>
          <xdr:rowOff>106680</xdr:rowOff>
        </xdr:from>
        <xdr:to>
          <xdr:col>3</xdr:col>
          <xdr:colOff>137160</xdr:colOff>
          <xdr:row>23</xdr:row>
          <xdr:rowOff>38100</xdr:rowOff>
        </xdr:to>
        <xdr:sp macro="" textlink="">
          <xdr:nvSpPr>
            <xdr:cNvPr id="411656" name="Check Box 8" hidden="1">
              <a:extLst>
                <a:ext uri="{63B3BB69-23CF-44E3-9099-C40C66FF867C}">
                  <a14:compatExt spid="_x0000_s4116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838200</xdr:colOff>
          <xdr:row>24</xdr:row>
          <xdr:rowOff>7620</xdr:rowOff>
        </xdr:from>
        <xdr:to>
          <xdr:col>5</xdr:col>
          <xdr:colOff>0</xdr:colOff>
          <xdr:row>25</xdr:row>
          <xdr:rowOff>22860</xdr:rowOff>
        </xdr:to>
        <xdr:sp macro="" textlink="">
          <xdr:nvSpPr>
            <xdr:cNvPr id="411657" name="Drop Down 9" hidden="1">
              <a:extLst>
                <a:ext uri="{63B3BB69-23CF-44E3-9099-C40C66FF867C}">
                  <a14:compatExt spid="_x0000_s4116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</xdr:colOff>
          <xdr:row>6</xdr:row>
          <xdr:rowOff>7620</xdr:rowOff>
        </xdr:from>
        <xdr:to>
          <xdr:col>15</xdr:col>
          <xdr:colOff>0</xdr:colOff>
          <xdr:row>6</xdr:row>
          <xdr:rowOff>175260</xdr:rowOff>
        </xdr:to>
        <xdr:sp macro="" textlink="">
          <xdr:nvSpPr>
            <xdr:cNvPr id="332801" name="Drop Down 1" hidden="1">
              <a:extLst>
                <a:ext uri="{63B3BB69-23CF-44E3-9099-C40C66FF867C}">
                  <a14:compatExt spid="_x0000_s332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14</xdr:col>
      <xdr:colOff>365760</xdr:colOff>
      <xdr:row>7</xdr:row>
      <xdr:rowOff>30480</xdr:rowOff>
    </xdr:from>
    <xdr:to>
      <xdr:col>14</xdr:col>
      <xdr:colOff>365760</xdr:colOff>
      <xdr:row>10</xdr:row>
      <xdr:rowOff>144780</xdr:rowOff>
    </xdr:to>
    <xdr:cxnSp macro="">
      <xdr:nvCxnSpPr>
        <xdr:cNvPr id="3" name="Straight Arrow Connector 2"/>
        <xdr:cNvCxnSpPr/>
      </xdr:nvCxnSpPr>
      <xdr:spPr>
        <a:xfrm>
          <a:off x="11361420" y="1310640"/>
          <a:ext cx="0" cy="662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274320</xdr:colOff>
      <xdr:row>6</xdr:row>
      <xdr:rowOff>129540</xdr:rowOff>
    </xdr:from>
    <xdr:to>
      <xdr:col>13</xdr:col>
      <xdr:colOff>228600</xdr:colOff>
      <xdr:row>13</xdr:row>
      <xdr:rowOff>160020</xdr:rowOff>
    </xdr:to>
    <xdr:cxnSp macro="">
      <xdr:nvCxnSpPr>
        <xdr:cNvPr id="4" name="Straight Arrow Connector 3"/>
        <xdr:cNvCxnSpPr/>
      </xdr:nvCxnSpPr>
      <xdr:spPr>
        <a:xfrm flipH="1">
          <a:off x="9776460" y="1226820"/>
          <a:ext cx="701040" cy="1310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</xdr:colOff>
          <xdr:row>6</xdr:row>
          <xdr:rowOff>7620</xdr:rowOff>
        </xdr:from>
        <xdr:to>
          <xdr:col>14</xdr:col>
          <xdr:colOff>0</xdr:colOff>
          <xdr:row>6</xdr:row>
          <xdr:rowOff>175260</xdr:rowOff>
        </xdr:to>
        <xdr:sp macro="" textlink="">
          <xdr:nvSpPr>
            <xdr:cNvPr id="333825" name="Drop Down 1" hidden="1">
              <a:extLst>
                <a:ext uri="{63B3BB69-23CF-44E3-9099-C40C66FF867C}">
                  <a14:compatExt spid="_x0000_s3338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13</xdr:col>
      <xdr:colOff>365760</xdr:colOff>
      <xdr:row>7</xdr:row>
      <xdr:rowOff>30480</xdr:rowOff>
    </xdr:from>
    <xdr:to>
      <xdr:col>13</xdr:col>
      <xdr:colOff>365760</xdr:colOff>
      <xdr:row>10</xdr:row>
      <xdr:rowOff>144780</xdr:rowOff>
    </xdr:to>
    <xdr:cxnSp macro="">
      <xdr:nvCxnSpPr>
        <xdr:cNvPr id="3" name="Straight Arrow Connector 2"/>
        <xdr:cNvCxnSpPr/>
      </xdr:nvCxnSpPr>
      <xdr:spPr>
        <a:xfrm>
          <a:off x="11361420" y="1310640"/>
          <a:ext cx="0" cy="662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68580</xdr:colOff>
          <xdr:row>6</xdr:row>
          <xdr:rowOff>22860</xdr:rowOff>
        </xdr:from>
        <xdr:to>
          <xdr:col>15</xdr:col>
          <xdr:colOff>0</xdr:colOff>
          <xdr:row>7</xdr:row>
          <xdr:rowOff>7620</xdr:rowOff>
        </xdr:to>
        <xdr:sp macro="" textlink="">
          <xdr:nvSpPr>
            <xdr:cNvPr id="377857" name="Drop Down 1" hidden="1">
              <a:extLst>
                <a:ext uri="{63B3BB69-23CF-44E3-9099-C40C66FF867C}">
                  <a14:compatExt spid="_x0000_s3778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13</xdr:col>
      <xdr:colOff>373380</xdr:colOff>
      <xdr:row>6</xdr:row>
      <xdr:rowOff>121920</xdr:rowOff>
    </xdr:from>
    <xdr:to>
      <xdr:col>14</xdr:col>
      <xdr:colOff>289560</xdr:colOff>
      <xdr:row>13</xdr:row>
      <xdr:rowOff>152400</xdr:rowOff>
    </xdr:to>
    <xdr:cxnSp macro="">
      <xdr:nvCxnSpPr>
        <xdr:cNvPr id="4" name="Straight Arrow Connector 3"/>
        <xdr:cNvCxnSpPr/>
      </xdr:nvCxnSpPr>
      <xdr:spPr>
        <a:xfrm flipH="1">
          <a:off x="10416540" y="1219200"/>
          <a:ext cx="701040" cy="1310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</xdr:colOff>
          <xdr:row>6</xdr:row>
          <xdr:rowOff>7620</xdr:rowOff>
        </xdr:from>
        <xdr:to>
          <xdr:col>13</xdr:col>
          <xdr:colOff>0</xdr:colOff>
          <xdr:row>6</xdr:row>
          <xdr:rowOff>175260</xdr:rowOff>
        </xdr:to>
        <xdr:sp macro="" textlink="">
          <xdr:nvSpPr>
            <xdr:cNvPr id="376833" name="Drop Down 1" hidden="1">
              <a:extLst>
                <a:ext uri="{63B3BB69-23CF-44E3-9099-C40C66FF867C}">
                  <a14:compatExt spid="_x0000_s3768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12</xdr:col>
      <xdr:colOff>365760</xdr:colOff>
      <xdr:row>7</xdr:row>
      <xdr:rowOff>30480</xdr:rowOff>
    </xdr:from>
    <xdr:to>
      <xdr:col>12</xdr:col>
      <xdr:colOff>365760</xdr:colOff>
      <xdr:row>10</xdr:row>
      <xdr:rowOff>144780</xdr:rowOff>
    </xdr:to>
    <xdr:cxnSp macro="">
      <xdr:nvCxnSpPr>
        <xdr:cNvPr id="3" name="Straight Arrow Connector 2"/>
        <xdr:cNvCxnSpPr/>
      </xdr:nvCxnSpPr>
      <xdr:spPr>
        <a:xfrm>
          <a:off x="11361420" y="1310640"/>
          <a:ext cx="0" cy="662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274320</xdr:colOff>
      <xdr:row>6</xdr:row>
      <xdr:rowOff>129540</xdr:rowOff>
    </xdr:from>
    <xdr:to>
      <xdr:col>11</xdr:col>
      <xdr:colOff>228600</xdr:colOff>
      <xdr:row>13</xdr:row>
      <xdr:rowOff>160020</xdr:rowOff>
    </xdr:to>
    <xdr:cxnSp macro="">
      <xdr:nvCxnSpPr>
        <xdr:cNvPr id="4" name="Straight Arrow Connector 3"/>
        <xdr:cNvCxnSpPr/>
      </xdr:nvCxnSpPr>
      <xdr:spPr>
        <a:xfrm flipH="1">
          <a:off x="9776460" y="1226820"/>
          <a:ext cx="701040" cy="1310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647700</xdr:colOff>
      <xdr:row>6</xdr:row>
      <xdr:rowOff>129540</xdr:rowOff>
    </xdr:from>
    <xdr:to>
      <xdr:col>14</xdr:col>
      <xdr:colOff>228600</xdr:colOff>
      <xdr:row>12</xdr:row>
      <xdr:rowOff>160020</xdr:rowOff>
    </xdr:to>
    <xdr:cxnSp macro="">
      <xdr:nvCxnSpPr>
        <xdr:cNvPr id="5" name="Straight Arrow Connector 4"/>
        <xdr:cNvCxnSpPr/>
      </xdr:nvCxnSpPr>
      <xdr:spPr>
        <a:xfrm flipH="1">
          <a:off x="10149840" y="1226820"/>
          <a:ext cx="1280160" cy="11277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579120</xdr:colOff>
      <xdr:row>6</xdr:row>
      <xdr:rowOff>152400</xdr:rowOff>
    </xdr:from>
    <xdr:to>
      <xdr:col>13</xdr:col>
      <xdr:colOff>388620</xdr:colOff>
      <xdr:row>14</xdr:row>
      <xdr:rowOff>0</xdr:rowOff>
    </xdr:to>
    <xdr:cxnSp macro="">
      <xdr:nvCxnSpPr>
        <xdr:cNvPr id="3" name="Straight Arrow Connector 2"/>
        <xdr:cNvCxnSpPr/>
      </xdr:nvCxnSpPr>
      <xdr:spPr>
        <a:xfrm flipH="1">
          <a:off x="4549140" y="1249680"/>
          <a:ext cx="5775960" cy="1310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472440</xdr:colOff>
      <xdr:row>4</xdr:row>
      <xdr:rowOff>114300</xdr:rowOff>
    </xdr:from>
    <xdr:to>
      <xdr:col>11</xdr:col>
      <xdr:colOff>594360</xdr:colOff>
      <xdr:row>7</xdr:row>
      <xdr:rowOff>68580</xdr:rowOff>
    </xdr:to>
    <xdr:cxnSp macro="">
      <xdr:nvCxnSpPr>
        <xdr:cNvPr id="3" name="Straight Arrow Connector 2"/>
        <xdr:cNvCxnSpPr/>
      </xdr:nvCxnSpPr>
      <xdr:spPr>
        <a:xfrm flipV="1">
          <a:off x="8938260" y="845820"/>
          <a:ext cx="121920" cy="5029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1097280</xdr:colOff>
      <xdr:row>7</xdr:row>
      <xdr:rowOff>167640</xdr:rowOff>
    </xdr:from>
    <xdr:to>
      <xdr:col>13</xdr:col>
      <xdr:colOff>335280</xdr:colOff>
      <xdr:row>12</xdr:row>
      <xdr:rowOff>144780</xdr:rowOff>
    </xdr:to>
    <xdr:cxnSp macro="">
      <xdr:nvCxnSpPr>
        <xdr:cNvPr id="5" name="Straight Arrow Connector 4"/>
        <xdr:cNvCxnSpPr/>
      </xdr:nvCxnSpPr>
      <xdr:spPr>
        <a:xfrm flipH="1">
          <a:off x="8374380" y="1447800"/>
          <a:ext cx="1805940" cy="891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144780</xdr:colOff>
          <xdr:row>20</xdr:row>
          <xdr:rowOff>15240</xdr:rowOff>
        </xdr:from>
        <xdr:to>
          <xdr:col>3</xdr:col>
          <xdr:colOff>220980</xdr:colOff>
          <xdr:row>21</xdr:row>
          <xdr:rowOff>30480</xdr:rowOff>
        </xdr:to>
        <xdr:sp macro="" textlink="">
          <xdr:nvSpPr>
            <xdr:cNvPr id="235522" name="Drop Down 2" hidden="1">
              <a:extLst>
                <a:ext uri="{63B3BB69-23CF-44E3-9099-C40C66FF867C}">
                  <a14:compatExt spid="_x0000_s2355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144780</xdr:colOff>
          <xdr:row>29</xdr:row>
          <xdr:rowOff>0</xdr:rowOff>
        </xdr:from>
        <xdr:to>
          <xdr:col>3</xdr:col>
          <xdr:colOff>220980</xdr:colOff>
          <xdr:row>30</xdr:row>
          <xdr:rowOff>15240</xdr:rowOff>
        </xdr:to>
        <xdr:sp macro="" textlink="">
          <xdr:nvSpPr>
            <xdr:cNvPr id="235523" name="Drop Down 3" hidden="1">
              <a:extLst>
                <a:ext uri="{63B3BB69-23CF-44E3-9099-C40C66FF867C}">
                  <a14:compatExt spid="_x0000_s2355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175260</xdr:colOff>
          <xdr:row>37</xdr:row>
          <xdr:rowOff>0</xdr:rowOff>
        </xdr:from>
        <xdr:to>
          <xdr:col>3</xdr:col>
          <xdr:colOff>251460</xdr:colOff>
          <xdr:row>38</xdr:row>
          <xdr:rowOff>15240</xdr:rowOff>
        </xdr:to>
        <xdr:sp macro="" textlink="">
          <xdr:nvSpPr>
            <xdr:cNvPr id="235524" name="Drop Down 4" hidden="1">
              <a:extLst>
                <a:ext uri="{63B3BB69-23CF-44E3-9099-C40C66FF867C}">
                  <a14:compatExt spid="_x0000_s2355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525780</xdr:colOff>
          <xdr:row>1</xdr:row>
          <xdr:rowOff>137160</xdr:rowOff>
        </xdr:from>
        <xdr:to>
          <xdr:col>11</xdr:col>
          <xdr:colOff>220980</xdr:colOff>
          <xdr:row>2</xdr:row>
          <xdr:rowOff>152400</xdr:rowOff>
        </xdr:to>
        <xdr:sp macro="" textlink="">
          <xdr:nvSpPr>
            <xdr:cNvPr id="236545" name="Drop Down 1" hidden="1">
              <a:extLst>
                <a:ext uri="{63B3BB69-23CF-44E3-9099-C40C66FF867C}">
                  <a14:compatExt spid="_x0000_s2365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525780</xdr:colOff>
          <xdr:row>1</xdr:row>
          <xdr:rowOff>137160</xdr:rowOff>
        </xdr:from>
        <xdr:to>
          <xdr:col>16</xdr:col>
          <xdr:colOff>220980</xdr:colOff>
          <xdr:row>2</xdr:row>
          <xdr:rowOff>152400</xdr:rowOff>
        </xdr:to>
        <xdr:sp macro="" textlink="">
          <xdr:nvSpPr>
            <xdr:cNvPr id="237569" name="Drop Down 1" hidden="1">
              <a:extLst>
                <a:ext uri="{63B3BB69-23CF-44E3-9099-C40C66FF867C}">
                  <a14:compatExt spid="_x0000_s2375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525780</xdr:colOff>
          <xdr:row>1</xdr:row>
          <xdr:rowOff>137160</xdr:rowOff>
        </xdr:from>
        <xdr:to>
          <xdr:col>14</xdr:col>
          <xdr:colOff>45720</xdr:colOff>
          <xdr:row>2</xdr:row>
          <xdr:rowOff>152400</xdr:rowOff>
        </xdr:to>
        <xdr:sp macro="" textlink="">
          <xdr:nvSpPr>
            <xdr:cNvPr id="238593" name="Drop Down 1" hidden="1">
              <a:extLst>
                <a:ext uri="{63B3BB69-23CF-44E3-9099-C40C66FF867C}">
                  <a14:compatExt spid="_x0000_s2385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525780</xdr:colOff>
          <xdr:row>1</xdr:row>
          <xdr:rowOff>137160</xdr:rowOff>
        </xdr:from>
        <xdr:to>
          <xdr:col>14</xdr:col>
          <xdr:colOff>220980</xdr:colOff>
          <xdr:row>2</xdr:row>
          <xdr:rowOff>152400</xdr:rowOff>
        </xdr:to>
        <xdr:sp macro="" textlink="">
          <xdr:nvSpPr>
            <xdr:cNvPr id="239617" name="Drop Down 1" hidden="1">
              <a:extLst>
                <a:ext uri="{63B3BB69-23CF-44E3-9099-C40C66FF867C}">
                  <a14:compatExt spid="_x0000_s2396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18</xdr:row>
          <xdr:rowOff>167640</xdr:rowOff>
        </xdr:from>
        <xdr:to>
          <xdr:col>5</xdr:col>
          <xdr:colOff>7620</xdr:colOff>
          <xdr:row>19</xdr:row>
          <xdr:rowOff>304800</xdr:rowOff>
        </xdr:to>
        <xdr:sp macro="" textlink="">
          <xdr:nvSpPr>
            <xdr:cNvPr id="239618" name="Drop Down 2" hidden="1">
              <a:extLst>
                <a:ext uri="{63B3BB69-23CF-44E3-9099-C40C66FF867C}">
                  <a14:compatExt spid="_x0000_s2396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19</xdr:row>
          <xdr:rowOff>327660</xdr:rowOff>
        </xdr:from>
        <xdr:to>
          <xdr:col>5</xdr:col>
          <xdr:colOff>0</xdr:colOff>
          <xdr:row>21</xdr:row>
          <xdr:rowOff>15240</xdr:rowOff>
        </xdr:to>
        <xdr:sp macro="" textlink="">
          <xdr:nvSpPr>
            <xdr:cNvPr id="239619" name="Drop Down 3" hidden="1">
              <a:extLst>
                <a:ext uri="{63B3BB69-23CF-44E3-9099-C40C66FF867C}">
                  <a14:compatExt spid="_x0000_s2396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525780</xdr:colOff>
          <xdr:row>1</xdr:row>
          <xdr:rowOff>137160</xdr:rowOff>
        </xdr:from>
        <xdr:to>
          <xdr:col>13</xdr:col>
          <xdr:colOff>220980</xdr:colOff>
          <xdr:row>2</xdr:row>
          <xdr:rowOff>152400</xdr:rowOff>
        </xdr:to>
        <xdr:sp macro="" textlink="">
          <xdr:nvSpPr>
            <xdr:cNvPr id="267265" name="Drop Down 1" hidden="1">
              <a:extLst>
                <a:ext uri="{63B3BB69-23CF-44E3-9099-C40C66FF867C}">
                  <a14:compatExt spid="_x0000_s267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15</xdr:row>
          <xdr:rowOff>152400</xdr:rowOff>
        </xdr:from>
        <xdr:to>
          <xdr:col>5</xdr:col>
          <xdr:colOff>15240</xdr:colOff>
          <xdr:row>16</xdr:row>
          <xdr:rowOff>167640</xdr:rowOff>
        </xdr:to>
        <xdr:sp macro="" textlink="">
          <xdr:nvSpPr>
            <xdr:cNvPr id="267270" name="Drop Down 6" hidden="1">
              <a:extLst>
                <a:ext uri="{63B3BB69-23CF-44E3-9099-C40C66FF867C}">
                  <a14:compatExt spid="_x0000_s2672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20</xdr:row>
          <xdr:rowOff>0</xdr:rowOff>
        </xdr:from>
        <xdr:to>
          <xdr:col>3</xdr:col>
          <xdr:colOff>670560</xdr:colOff>
          <xdr:row>21</xdr:row>
          <xdr:rowOff>60960</xdr:rowOff>
        </xdr:to>
        <xdr:sp macro="" textlink="">
          <xdr:nvSpPr>
            <xdr:cNvPr id="267271" name="Drop Down 7" hidden="1">
              <a:extLst>
                <a:ext uri="{63B3BB69-23CF-44E3-9099-C40C66FF867C}">
                  <a14:compatExt spid="_x0000_s2672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525780</xdr:colOff>
          <xdr:row>1</xdr:row>
          <xdr:rowOff>137160</xdr:rowOff>
        </xdr:from>
        <xdr:to>
          <xdr:col>13</xdr:col>
          <xdr:colOff>220980</xdr:colOff>
          <xdr:row>2</xdr:row>
          <xdr:rowOff>152400</xdr:rowOff>
        </xdr:to>
        <xdr:sp macro="" textlink="">
          <xdr:nvSpPr>
            <xdr:cNvPr id="268289" name="Drop Down 1" hidden="1">
              <a:extLst>
                <a:ext uri="{63B3BB69-23CF-44E3-9099-C40C66FF867C}">
                  <a14:compatExt spid="_x0000_s268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12</xdr:row>
          <xdr:rowOff>152400</xdr:rowOff>
        </xdr:from>
        <xdr:to>
          <xdr:col>5</xdr:col>
          <xdr:colOff>15240</xdr:colOff>
          <xdr:row>13</xdr:row>
          <xdr:rowOff>167640</xdr:rowOff>
        </xdr:to>
        <xdr:sp macro="" textlink="">
          <xdr:nvSpPr>
            <xdr:cNvPr id="268290" name="Drop Down 2" hidden="1">
              <a:extLst>
                <a:ext uri="{63B3BB69-23CF-44E3-9099-C40C66FF867C}">
                  <a14:compatExt spid="_x0000_s2682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17</xdr:row>
          <xdr:rowOff>0</xdr:rowOff>
        </xdr:from>
        <xdr:to>
          <xdr:col>3</xdr:col>
          <xdr:colOff>670560</xdr:colOff>
          <xdr:row>18</xdr:row>
          <xdr:rowOff>60960</xdr:rowOff>
        </xdr:to>
        <xdr:sp macro="" textlink="">
          <xdr:nvSpPr>
            <xdr:cNvPr id="268291" name="Drop Down 3" hidden="1">
              <a:extLst>
                <a:ext uri="{63B3BB69-23CF-44E3-9099-C40C66FF867C}">
                  <a14:compatExt spid="_x0000_s2682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525780</xdr:colOff>
          <xdr:row>1</xdr:row>
          <xdr:rowOff>137160</xdr:rowOff>
        </xdr:from>
        <xdr:to>
          <xdr:col>13</xdr:col>
          <xdr:colOff>220980</xdr:colOff>
          <xdr:row>2</xdr:row>
          <xdr:rowOff>152400</xdr:rowOff>
        </xdr:to>
        <xdr:sp macro="" textlink="">
          <xdr:nvSpPr>
            <xdr:cNvPr id="294913" name="Drop Down 1" hidden="1">
              <a:extLst>
                <a:ext uri="{63B3BB69-23CF-44E3-9099-C40C66FF867C}">
                  <a14:compatExt spid="_x0000_s2949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15</xdr:row>
          <xdr:rowOff>152400</xdr:rowOff>
        </xdr:from>
        <xdr:to>
          <xdr:col>5</xdr:col>
          <xdr:colOff>15240</xdr:colOff>
          <xdr:row>16</xdr:row>
          <xdr:rowOff>167640</xdr:rowOff>
        </xdr:to>
        <xdr:sp macro="" textlink="">
          <xdr:nvSpPr>
            <xdr:cNvPr id="294914" name="Drop Down 2" hidden="1">
              <a:extLst>
                <a:ext uri="{63B3BB69-23CF-44E3-9099-C40C66FF867C}">
                  <a14:compatExt spid="_x0000_s2949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20</xdr:row>
          <xdr:rowOff>0</xdr:rowOff>
        </xdr:from>
        <xdr:to>
          <xdr:col>3</xdr:col>
          <xdr:colOff>670560</xdr:colOff>
          <xdr:row>21</xdr:row>
          <xdr:rowOff>60960</xdr:rowOff>
        </xdr:to>
        <xdr:sp macro="" textlink="">
          <xdr:nvSpPr>
            <xdr:cNvPr id="294915" name="Drop Down 3" hidden="1">
              <a:extLst>
                <a:ext uri="{63B3BB69-23CF-44E3-9099-C40C66FF867C}">
                  <a14:compatExt spid="_x0000_s2949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525780</xdr:colOff>
          <xdr:row>1</xdr:row>
          <xdr:rowOff>137160</xdr:rowOff>
        </xdr:from>
        <xdr:to>
          <xdr:col>13</xdr:col>
          <xdr:colOff>220980</xdr:colOff>
          <xdr:row>2</xdr:row>
          <xdr:rowOff>152400</xdr:rowOff>
        </xdr:to>
        <xdr:sp macro="" textlink="">
          <xdr:nvSpPr>
            <xdr:cNvPr id="297985" name="Drop Down 1" hidden="1">
              <a:extLst>
                <a:ext uri="{63B3BB69-23CF-44E3-9099-C40C66FF867C}">
                  <a14:compatExt spid="_x0000_s2979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12</xdr:row>
          <xdr:rowOff>152400</xdr:rowOff>
        </xdr:from>
        <xdr:to>
          <xdr:col>5</xdr:col>
          <xdr:colOff>15240</xdr:colOff>
          <xdr:row>13</xdr:row>
          <xdr:rowOff>167640</xdr:rowOff>
        </xdr:to>
        <xdr:sp macro="" textlink="">
          <xdr:nvSpPr>
            <xdr:cNvPr id="297986" name="Drop Down 2" hidden="1">
              <a:extLst>
                <a:ext uri="{63B3BB69-23CF-44E3-9099-C40C66FF867C}">
                  <a14:compatExt spid="_x0000_s2979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17</xdr:row>
          <xdr:rowOff>0</xdr:rowOff>
        </xdr:from>
        <xdr:to>
          <xdr:col>3</xdr:col>
          <xdr:colOff>670560</xdr:colOff>
          <xdr:row>18</xdr:row>
          <xdr:rowOff>60960</xdr:rowOff>
        </xdr:to>
        <xdr:sp macro="" textlink="">
          <xdr:nvSpPr>
            <xdr:cNvPr id="297987" name="Drop Down 3" hidden="1">
              <a:extLst>
                <a:ext uri="{63B3BB69-23CF-44E3-9099-C40C66FF867C}">
                  <a14:compatExt spid="_x0000_s2979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525780</xdr:colOff>
          <xdr:row>1</xdr:row>
          <xdr:rowOff>137160</xdr:rowOff>
        </xdr:from>
        <xdr:to>
          <xdr:col>13</xdr:col>
          <xdr:colOff>220980</xdr:colOff>
          <xdr:row>2</xdr:row>
          <xdr:rowOff>152400</xdr:rowOff>
        </xdr:to>
        <xdr:sp macro="" textlink="">
          <xdr:nvSpPr>
            <xdr:cNvPr id="299009" name="Drop Down 1" hidden="1">
              <a:extLst>
                <a:ext uri="{63B3BB69-23CF-44E3-9099-C40C66FF867C}">
                  <a14:compatExt spid="_x0000_s2990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952500</xdr:colOff>
          <xdr:row>16</xdr:row>
          <xdr:rowOff>0</xdr:rowOff>
        </xdr:from>
        <xdr:to>
          <xdr:col>3</xdr:col>
          <xdr:colOff>670560</xdr:colOff>
          <xdr:row>17</xdr:row>
          <xdr:rowOff>60960</xdr:rowOff>
        </xdr:to>
        <xdr:sp macro="" textlink="">
          <xdr:nvSpPr>
            <xdr:cNvPr id="299011" name="Drop Down 3" hidden="1">
              <a:extLst>
                <a:ext uri="{63B3BB69-23CF-44E3-9099-C40C66FF867C}">
                  <a14:compatExt spid="_x0000_s2990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7</xdr:row>
          <xdr:rowOff>160020</xdr:rowOff>
        </xdr:from>
        <xdr:to>
          <xdr:col>5</xdr:col>
          <xdr:colOff>167640</xdr:colOff>
          <xdr:row>9</xdr:row>
          <xdr:rowOff>30480</xdr:rowOff>
        </xdr:to>
        <xdr:sp macro="" textlink="">
          <xdr:nvSpPr>
            <xdr:cNvPr id="299012" name="Drop Down 4" hidden="1">
              <a:extLst>
                <a:ext uri="{63B3BB69-23CF-44E3-9099-C40C66FF867C}">
                  <a14:compatExt spid="_x0000_s2990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525780</xdr:colOff>
          <xdr:row>1</xdr:row>
          <xdr:rowOff>137160</xdr:rowOff>
        </xdr:from>
        <xdr:to>
          <xdr:col>13</xdr:col>
          <xdr:colOff>220980</xdr:colOff>
          <xdr:row>2</xdr:row>
          <xdr:rowOff>152400</xdr:rowOff>
        </xdr:to>
        <xdr:sp macro="" textlink="">
          <xdr:nvSpPr>
            <xdr:cNvPr id="379905" name="Drop Down 1" hidden="1">
              <a:extLst>
                <a:ext uri="{63B3BB69-23CF-44E3-9099-C40C66FF867C}">
                  <a14:compatExt spid="_x0000_s3799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525780</xdr:colOff>
          <xdr:row>1</xdr:row>
          <xdr:rowOff>137160</xdr:rowOff>
        </xdr:from>
        <xdr:to>
          <xdr:col>15</xdr:col>
          <xdr:colOff>220980</xdr:colOff>
          <xdr:row>2</xdr:row>
          <xdr:rowOff>152400</xdr:rowOff>
        </xdr:to>
        <xdr:sp macro="" textlink="">
          <xdr:nvSpPr>
            <xdr:cNvPr id="460801" name="Drop Down 1" hidden="1">
              <a:extLst>
                <a:ext uri="{63B3BB69-23CF-44E3-9099-C40C66FF867C}">
                  <a14:compatExt spid="_x0000_s460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5</xdr:row>
          <xdr:rowOff>22860</xdr:rowOff>
        </xdr:from>
        <xdr:to>
          <xdr:col>3</xdr:col>
          <xdr:colOff>1211580</xdr:colOff>
          <xdr:row>6</xdr:row>
          <xdr:rowOff>0</xdr:rowOff>
        </xdr:to>
        <xdr:sp macro="" textlink="">
          <xdr:nvSpPr>
            <xdr:cNvPr id="18433" name="Drop Down 1" hidden="1">
              <a:extLst>
                <a:ext uri="{63B3BB69-23CF-44E3-9099-C40C66FF867C}">
                  <a14:compatExt spid="_x0000_s184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</xdr:colOff>
          <xdr:row>5</xdr:row>
          <xdr:rowOff>22860</xdr:rowOff>
        </xdr:from>
        <xdr:to>
          <xdr:col>5</xdr:col>
          <xdr:colOff>22860</xdr:colOff>
          <xdr:row>6</xdr:row>
          <xdr:rowOff>0</xdr:rowOff>
        </xdr:to>
        <xdr:sp macro="" textlink="">
          <xdr:nvSpPr>
            <xdr:cNvPr id="18434" name="Drop Down 2" hidden="1">
              <a:extLst>
                <a:ext uri="{63B3BB69-23CF-44E3-9099-C40C66FF867C}">
                  <a14:compatExt spid="_x0000_s184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1021080</xdr:colOff>
      <xdr:row>3</xdr:row>
      <xdr:rowOff>45720</xdr:rowOff>
    </xdr:from>
    <xdr:to>
      <xdr:col>5</xdr:col>
      <xdr:colOff>510540</xdr:colOff>
      <xdr:row>5</xdr:row>
      <xdr:rowOff>0</xdr:rowOff>
    </xdr:to>
    <xdr:cxnSp macro="">
      <xdr:nvCxnSpPr>
        <xdr:cNvPr id="3" name="Straight Arrow Connector 2"/>
        <xdr:cNvCxnSpPr/>
      </xdr:nvCxnSpPr>
      <xdr:spPr>
        <a:xfrm flipV="1">
          <a:off x="5425440" y="594360"/>
          <a:ext cx="678180" cy="320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3</xdr:row>
          <xdr:rowOff>0</xdr:rowOff>
        </xdr:from>
        <xdr:to>
          <xdr:col>2</xdr:col>
          <xdr:colOff>1013460</xdr:colOff>
          <xdr:row>3</xdr:row>
          <xdr:rowOff>167640</xdr:rowOff>
        </xdr:to>
        <xdr:sp macro="" textlink="">
          <xdr:nvSpPr>
            <xdr:cNvPr id="19457" name="Drop Down 1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3</xdr:row>
          <xdr:rowOff>0</xdr:rowOff>
        </xdr:from>
        <xdr:to>
          <xdr:col>4</xdr:col>
          <xdr:colOff>1013460</xdr:colOff>
          <xdr:row>3</xdr:row>
          <xdr:rowOff>167640</xdr:rowOff>
        </xdr:to>
        <xdr:sp macro="" textlink="">
          <xdr:nvSpPr>
            <xdr:cNvPr id="19458" name="Drop Down 2" hidden="1">
              <a:extLst>
                <a:ext uri="{63B3BB69-23CF-44E3-9099-C40C66FF867C}">
                  <a14:compatExt spid="_x0000_s194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495300</xdr:colOff>
      <xdr:row>1</xdr:row>
      <xdr:rowOff>0</xdr:rowOff>
    </xdr:from>
    <xdr:to>
      <xdr:col>6</xdr:col>
      <xdr:colOff>556260</xdr:colOff>
      <xdr:row>4</xdr:row>
      <xdr:rowOff>83820</xdr:rowOff>
    </xdr:to>
    <xdr:cxnSp macro="">
      <xdr:nvCxnSpPr>
        <xdr:cNvPr id="3" name="Straight Arrow Connector 2"/>
        <xdr:cNvCxnSpPr/>
      </xdr:nvCxnSpPr>
      <xdr:spPr>
        <a:xfrm flipV="1">
          <a:off x="1714500" y="182880"/>
          <a:ext cx="4114800" cy="6324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</xdr:colOff>
      <xdr:row>3</xdr:row>
      <xdr:rowOff>0</xdr:rowOff>
    </xdr:from>
    <xdr:to>
      <xdr:col>9</xdr:col>
      <xdr:colOff>68580</xdr:colOff>
      <xdr:row>3</xdr:row>
      <xdr:rowOff>83820</xdr:rowOff>
    </xdr:to>
    <xdr:cxnSp macro="">
      <xdr:nvCxnSpPr>
        <xdr:cNvPr id="5" name="Straight Arrow Connector 4"/>
        <xdr:cNvCxnSpPr/>
      </xdr:nvCxnSpPr>
      <xdr:spPr>
        <a:xfrm flipV="1">
          <a:off x="4922520" y="548640"/>
          <a:ext cx="2484120" cy="83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5</xdr:row>
          <xdr:rowOff>15240</xdr:rowOff>
        </xdr:from>
        <xdr:to>
          <xdr:col>3</xdr:col>
          <xdr:colOff>1066800</xdr:colOff>
          <xdr:row>6</xdr:row>
          <xdr:rowOff>7620</xdr:rowOff>
        </xdr:to>
        <xdr:sp macro="" textlink="">
          <xdr:nvSpPr>
            <xdr:cNvPr id="23553" name="Drop Down 1" hidden="1">
              <a:extLst>
                <a:ext uri="{63B3BB69-23CF-44E3-9099-C40C66FF867C}">
                  <a14:compatExt spid="_x0000_s235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5</xdr:row>
          <xdr:rowOff>30480</xdr:rowOff>
        </xdr:from>
        <xdr:to>
          <xdr:col>4</xdr:col>
          <xdr:colOff>1196340</xdr:colOff>
          <xdr:row>5</xdr:row>
          <xdr:rowOff>175260</xdr:rowOff>
        </xdr:to>
        <xdr:sp macro="" textlink="">
          <xdr:nvSpPr>
            <xdr:cNvPr id="24578" name="Drop Down 2" hidden="1">
              <a:extLst>
                <a:ext uri="{63B3BB69-23CF-44E3-9099-C40C66FF867C}">
                  <a14:compatExt spid="_x0000_s245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182880</xdr:colOff>
          <xdr:row>4</xdr:row>
          <xdr:rowOff>160020</xdr:rowOff>
        </xdr:from>
        <xdr:to>
          <xdr:col>5</xdr:col>
          <xdr:colOff>701040</xdr:colOff>
          <xdr:row>6</xdr:row>
          <xdr:rowOff>15240</xdr:rowOff>
        </xdr:to>
        <xdr:sp macro="" textlink="">
          <xdr:nvSpPr>
            <xdr:cNvPr id="24579" name="Button 3" hidden="1">
              <a:extLst>
                <a:ext uri="{63B3BB69-23CF-44E3-9099-C40C66FF867C}">
                  <a14:compatExt spid="_x0000_s245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</a:t>
              </a:r>
            </a:p>
          </xdr:txBody>
        </xdr:sp>
        <xdr:clientData fPrintsWithSheet="0"/>
      </xdr:twoCellAnchor>
    </mc:Choice>
    <mc:Fallback/>
  </mc:AlternateContent>
  <xdr:twoCellAnchor>
    <xdr:from>
      <xdr:col>5</xdr:col>
      <xdr:colOff>15240</xdr:colOff>
      <xdr:row>3</xdr:row>
      <xdr:rowOff>144780</xdr:rowOff>
    </xdr:from>
    <xdr:to>
      <xdr:col>6</xdr:col>
      <xdr:colOff>30480</xdr:colOff>
      <xdr:row>4</xdr:row>
      <xdr:rowOff>160020</xdr:rowOff>
    </xdr:to>
    <xdr:cxnSp macro="">
      <xdr:nvCxnSpPr>
        <xdr:cNvPr id="3" name="Straight Arrow Connector 2"/>
        <xdr:cNvCxnSpPr/>
      </xdr:nvCxnSpPr>
      <xdr:spPr>
        <a:xfrm flipV="1">
          <a:off x="4838700" y="693420"/>
          <a:ext cx="1257300" cy="1981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678180</xdr:colOff>
      <xdr:row>9</xdr:row>
      <xdr:rowOff>121920</xdr:rowOff>
    </xdr:from>
    <xdr:to>
      <xdr:col>4</xdr:col>
      <xdr:colOff>259080</xdr:colOff>
      <xdr:row>17</xdr:row>
      <xdr:rowOff>106680</xdr:rowOff>
    </xdr:to>
    <xdr:cxnSp macro="">
      <xdr:nvCxnSpPr>
        <xdr:cNvPr id="4" name="Straight Arrow Connector 3"/>
        <xdr:cNvCxnSpPr/>
      </xdr:nvCxnSpPr>
      <xdr:spPr>
        <a:xfrm>
          <a:off x="3063240" y="1767840"/>
          <a:ext cx="800100" cy="144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</xdr:colOff>
          <xdr:row>4</xdr:row>
          <xdr:rowOff>22860</xdr:rowOff>
        </xdr:from>
        <xdr:to>
          <xdr:col>8</xdr:col>
          <xdr:colOff>762000</xdr:colOff>
          <xdr:row>5</xdr:row>
          <xdr:rowOff>0</xdr:rowOff>
        </xdr:to>
        <xdr:sp macro="" textlink="">
          <xdr:nvSpPr>
            <xdr:cNvPr id="26625" name="Drop Down 1" hidden="1">
              <a:extLst>
                <a:ext uri="{63B3BB69-23CF-44E3-9099-C40C66FF867C}">
                  <a14:compatExt spid="_x0000_s266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5</xdr:row>
          <xdr:rowOff>15240</xdr:rowOff>
        </xdr:from>
        <xdr:to>
          <xdr:col>4</xdr:col>
          <xdr:colOff>1348740</xdr:colOff>
          <xdr:row>5</xdr:row>
          <xdr:rowOff>167640</xdr:rowOff>
        </xdr:to>
        <xdr:sp macro="" textlink="">
          <xdr:nvSpPr>
            <xdr:cNvPr id="27649" name="Drop Down 1" hidden="1">
              <a:extLst>
                <a:ext uri="{63B3BB69-23CF-44E3-9099-C40C66FF867C}">
                  <a14:compatExt spid="_x0000_s276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5</xdr:row>
          <xdr:rowOff>7620</xdr:rowOff>
        </xdr:from>
        <xdr:to>
          <xdr:col>5</xdr:col>
          <xdr:colOff>1188720</xdr:colOff>
          <xdr:row>5</xdr:row>
          <xdr:rowOff>167640</xdr:rowOff>
        </xdr:to>
        <xdr:sp macro="" textlink="">
          <xdr:nvSpPr>
            <xdr:cNvPr id="27650" name="Drop Down 2" hidden="1">
              <a:extLst>
                <a:ext uri="{63B3BB69-23CF-44E3-9099-C40C66FF867C}">
                  <a14:compatExt spid="_x0000_s276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594360</xdr:colOff>
          <xdr:row>5</xdr:row>
          <xdr:rowOff>0</xdr:rowOff>
        </xdr:from>
        <xdr:to>
          <xdr:col>2</xdr:col>
          <xdr:colOff>1028700</xdr:colOff>
          <xdr:row>6</xdr:row>
          <xdr:rowOff>15240</xdr:rowOff>
        </xdr:to>
        <xdr:sp macro="" textlink="">
          <xdr:nvSpPr>
            <xdr:cNvPr id="27653" name="Drop Down 5" hidden="1">
              <a:extLst>
                <a:ext uri="{63B3BB69-23CF-44E3-9099-C40C66FF867C}">
                  <a14:compatExt spid="_x0000_s276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</xdr:row>
          <xdr:rowOff>175260</xdr:rowOff>
        </xdr:from>
        <xdr:to>
          <xdr:col>3</xdr:col>
          <xdr:colOff>1043940</xdr:colOff>
          <xdr:row>6</xdr:row>
          <xdr:rowOff>7620</xdr:rowOff>
        </xdr:to>
        <xdr:sp macro="" textlink="">
          <xdr:nvSpPr>
            <xdr:cNvPr id="27654" name="Drop Down 6" hidden="1">
              <a:extLst>
                <a:ext uri="{63B3BB69-23CF-44E3-9099-C40C66FF867C}">
                  <a14:compatExt spid="_x0000_s276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5</xdr:row>
          <xdr:rowOff>15240</xdr:rowOff>
        </xdr:from>
        <xdr:to>
          <xdr:col>4</xdr:col>
          <xdr:colOff>1348740</xdr:colOff>
          <xdr:row>5</xdr:row>
          <xdr:rowOff>167640</xdr:rowOff>
        </xdr:to>
        <xdr:sp macro="" textlink="">
          <xdr:nvSpPr>
            <xdr:cNvPr id="41985" name="Drop Down 1" hidden="1">
              <a:extLst>
                <a:ext uri="{63B3BB69-23CF-44E3-9099-C40C66FF867C}">
                  <a14:compatExt spid="_x0000_s419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5</xdr:row>
          <xdr:rowOff>7620</xdr:rowOff>
        </xdr:from>
        <xdr:to>
          <xdr:col>5</xdr:col>
          <xdr:colOff>1188720</xdr:colOff>
          <xdr:row>5</xdr:row>
          <xdr:rowOff>167640</xdr:rowOff>
        </xdr:to>
        <xdr:sp macro="" textlink="">
          <xdr:nvSpPr>
            <xdr:cNvPr id="41986" name="Drop Down 2" hidden="1">
              <a:extLst>
                <a:ext uri="{63B3BB69-23CF-44E3-9099-C40C66FF867C}">
                  <a14:compatExt spid="_x0000_s419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594360</xdr:colOff>
          <xdr:row>5</xdr:row>
          <xdr:rowOff>0</xdr:rowOff>
        </xdr:from>
        <xdr:to>
          <xdr:col>2</xdr:col>
          <xdr:colOff>1028700</xdr:colOff>
          <xdr:row>6</xdr:row>
          <xdr:rowOff>15240</xdr:rowOff>
        </xdr:to>
        <xdr:sp macro="" textlink="">
          <xdr:nvSpPr>
            <xdr:cNvPr id="41987" name="Drop Down 3" hidden="1">
              <a:extLst>
                <a:ext uri="{63B3BB69-23CF-44E3-9099-C40C66FF867C}">
                  <a14:compatExt spid="_x0000_s419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</xdr:row>
          <xdr:rowOff>175260</xdr:rowOff>
        </xdr:from>
        <xdr:to>
          <xdr:col>3</xdr:col>
          <xdr:colOff>1043940</xdr:colOff>
          <xdr:row>6</xdr:row>
          <xdr:rowOff>7620</xdr:rowOff>
        </xdr:to>
        <xdr:sp macro="" textlink="">
          <xdr:nvSpPr>
            <xdr:cNvPr id="41988" name="Drop Down 4" hidden="1">
              <a:extLst>
                <a:ext uri="{63B3BB69-23CF-44E3-9099-C40C66FF867C}">
                  <a14:compatExt spid="_x0000_s419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7</xdr:row>
          <xdr:rowOff>15240</xdr:rowOff>
        </xdr:from>
        <xdr:to>
          <xdr:col>4</xdr:col>
          <xdr:colOff>1120140</xdr:colOff>
          <xdr:row>7</xdr:row>
          <xdr:rowOff>167640</xdr:rowOff>
        </xdr:to>
        <xdr:sp macro="" textlink="">
          <xdr:nvSpPr>
            <xdr:cNvPr id="25601" name="Drop Down 1" hidden="1">
              <a:extLst>
                <a:ext uri="{63B3BB69-23CF-44E3-9099-C40C66FF867C}">
                  <a14:compatExt spid="_x0000_s256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7</xdr:row>
          <xdr:rowOff>22860</xdr:rowOff>
        </xdr:from>
        <xdr:to>
          <xdr:col>10</xdr:col>
          <xdr:colOff>960120</xdr:colOff>
          <xdr:row>7</xdr:row>
          <xdr:rowOff>167640</xdr:rowOff>
        </xdr:to>
        <xdr:sp macro="" textlink="">
          <xdr:nvSpPr>
            <xdr:cNvPr id="25602" name="Drop Down 2" hidden="1">
              <a:extLst>
                <a:ext uri="{63B3BB69-23CF-44E3-9099-C40C66FF867C}">
                  <a14:compatExt spid="_x0000_s256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411480</xdr:colOff>
          <xdr:row>5</xdr:row>
          <xdr:rowOff>144780</xdr:rowOff>
        </xdr:from>
        <xdr:to>
          <xdr:col>3</xdr:col>
          <xdr:colOff>929640</xdr:colOff>
          <xdr:row>7</xdr:row>
          <xdr:rowOff>0</xdr:rowOff>
        </xdr:to>
        <xdr:sp macro="" textlink="">
          <xdr:nvSpPr>
            <xdr:cNvPr id="29697" name="Button 1" hidden="1">
              <a:extLst>
                <a:ext uri="{63B3BB69-23CF-44E3-9099-C40C66FF867C}">
                  <a14:compatExt spid="_x0000_s296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</a:t>
              </a:r>
            </a:p>
          </xdr:txBody>
        </xdr:sp>
        <xdr:clientData fPrintsWithSheet="0"/>
      </xdr:twoCellAnchor>
    </mc:Choice>
    <mc:Fallback/>
  </mc:AlternateContent>
</xdr:wsDr>
</file>

<file path=xl/drawings/drawing6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198120</xdr:colOff>
          <xdr:row>5</xdr:row>
          <xdr:rowOff>167640</xdr:rowOff>
        </xdr:from>
        <xdr:to>
          <xdr:col>4</xdr:col>
          <xdr:colOff>716280</xdr:colOff>
          <xdr:row>7</xdr:row>
          <xdr:rowOff>22860</xdr:rowOff>
        </xdr:to>
        <xdr:sp macro="" textlink="">
          <xdr:nvSpPr>
            <xdr:cNvPr id="30721" name="Button 1" hidden="1">
              <a:extLst>
                <a:ext uri="{63B3BB69-23CF-44E3-9099-C40C66FF867C}">
                  <a14:compatExt spid="_x0000_s307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</a:t>
              </a:r>
            </a:p>
          </xdr:txBody>
        </xdr:sp>
        <xdr:clientData fPrintsWithSheet="0"/>
      </xdr:twoCellAnchor>
    </mc:Choice>
    <mc:Fallback/>
  </mc:AlternateContent>
</xdr:wsDr>
</file>

<file path=xl/drawings/drawing6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</xdr:row>
          <xdr:rowOff>0</xdr:rowOff>
        </xdr:from>
        <xdr:to>
          <xdr:col>5</xdr:col>
          <xdr:colOff>914400</xdr:colOff>
          <xdr:row>5</xdr:row>
          <xdr:rowOff>22860</xdr:rowOff>
        </xdr:to>
        <xdr:sp macro="" textlink="">
          <xdr:nvSpPr>
            <xdr:cNvPr id="220161" name="Drop Down 1" hidden="1">
              <a:extLst>
                <a:ext uri="{63B3BB69-23CF-44E3-9099-C40C66FF867C}">
                  <a14:compatExt spid="_x0000_s2201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0</xdr:rowOff>
        </xdr:from>
        <xdr:to>
          <xdr:col>6</xdr:col>
          <xdr:colOff>1242060</xdr:colOff>
          <xdr:row>5</xdr:row>
          <xdr:rowOff>0</xdr:rowOff>
        </xdr:to>
        <xdr:sp macro="" textlink="">
          <xdr:nvSpPr>
            <xdr:cNvPr id="220162" name="Drop Down 2" hidden="1">
              <a:extLst>
                <a:ext uri="{63B3BB69-23CF-44E3-9099-C40C66FF867C}">
                  <a14:compatExt spid="_x0000_s2201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144780</xdr:colOff>
          <xdr:row>4</xdr:row>
          <xdr:rowOff>0</xdr:rowOff>
        </xdr:from>
        <xdr:to>
          <xdr:col>14</xdr:col>
          <xdr:colOff>662940</xdr:colOff>
          <xdr:row>5</xdr:row>
          <xdr:rowOff>38100</xdr:rowOff>
        </xdr:to>
        <xdr:sp macro="" textlink="">
          <xdr:nvSpPr>
            <xdr:cNvPr id="220163" name="Button 3" hidden="1">
              <a:extLst>
                <a:ext uri="{63B3BB69-23CF-44E3-9099-C40C66FF867C}">
                  <a14:compatExt spid="_x0000_s2201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4</xdr:row>
          <xdr:rowOff>0</xdr:rowOff>
        </xdr:from>
        <xdr:to>
          <xdr:col>4</xdr:col>
          <xdr:colOff>0</xdr:colOff>
          <xdr:row>4</xdr:row>
          <xdr:rowOff>175260</xdr:rowOff>
        </xdr:to>
        <xdr:sp macro="" textlink="">
          <xdr:nvSpPr>
            <xdr:cNvPr id="220164" name="Drop Down 4" hidden="1">
              <a:extLst>
                <a:ext uri="{63B3BB69-23CF-44E3-9099-C40C66FF867C}">
                  <a14:compatExt spid="_x0000_s2201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</xdr:row>
          <xdr:rowOff>0</xdr:rowOff>
        </xdr:from>
        <xdr:to>
          <xdr:col>7</xdr:col>
          <xdr:colOff>1242060</xdr:colOff>
          <xdr:row>5</xdr:row>
          <xdr:rowOff>0</xdr:rowOff>
        </xdr:to>
        <xdr:sp macro="" textlink="">
          <xdr:nvSpPr>
            <xdr:cNvPr id="220165" name="Drop Down 5" hidden="1">
              <a:extLst>
                <a:ext uri="{63B3BB69-23CF-44E3-9099-C40C66FF867C}">
                  <a14:compatExt spid="_x0000_s2201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4</xdr:row>
          <xdr:rowOff>0</xdr:rowOff>
        </xdr:from>
        <xdr:to>
          <xdr:col>4</xdr:col>
          <xdr:colOff>0</xdr:colOff>
          <xdr:row>4</xdr:row>
          <xdr:rowOff>175260</xdr:rowOff>
        </xdr:to>
        <xdr:sp macro="" textlink="">
          <xdr:nvSpPr>
            <xdr:cNvPr id="220166" name="Drop Down 6" hidden="1">
              <a:extLst>
                <a:ext uri="{63B3BB69-23CF-44E3-9099-C40C66FF867C}">
                  <a14:compatExt spid="_x0000_s2201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563880</xdr:colOff>
      <xdr:row>6</xdr:row>
      <xdr:rowOff>160020</xdr:rowOff>
    </xdr:from>
    <xdr:to>
      <xdr:col>2</xdr:col>
      <xdr:colOff>701040</xdr:colOff>
      <xdr:row>11</xdr:row>
      <xdr:rowOff>167640</xdr:rowOff>
    </xdr:to>
    <xdr:cxnSp macro="">
      <xdr:nvCxnSpPr>
        <xdr:cNvPr id="4" name="Straight Arrow Connector 3"/>
        <xdr:cNvCxnSpPr/>
      </xdr:nvCxnSpPr>
      <xdr:spPr>
        <a:xfrm>
          <a:off x="1783080" y="1623060"/>
          <a:ext cx="137160" cy="922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</xdr:row>
          <xdr:rowOff>7620</xdr:rowOff>
        </xdr:from>
        <xdr:to>
          <xdr:col>6</xdr:col>
          <xdr:colOff>0</xdr:colOff>
          <xdr:row>6</xdr:row>
          <xdr:rowOff>30480</xdr:rowOff>
        </xdr:to>
        <xdr:sp macro="" textlink="">
          <xdr:nvSpPr>
            <xdr:cNvPr id="31745" name="Drop Down 1" hidden="1">
              <a:extLst>
                <a:ext uri="{63B3BB69-23CF-44E3-9099-C40C66FF867C}">
                  <a14:compatExt spid="_x0000_s317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838200</xdr:colOff>
      <xdr:row>2</xdr:row>
      <xdr:rowOff>53340</xdr:rowOff>
    </xdr:from>
    <xdr:to>
      <xdr:col>7</xdr:col>
      <xdr:colOff>0</xdr:colOff>
      <xdr:row>4</xdr:row>
      <xdr:rowOff>114300</xdr:rowOff>
    </xdr:to>
    <xdr:cxnSp macro="">
      <xdr:nvCxnSpPr>
        <xdr:cNvPr id="3" name="Straight Arrow Connector 2"/>
        <xdr:cNvCxnSpPr/>
      </xdr:nvCxnSpPr>
      <xdr:spPr>
        <a:xfrm flipV="1">
          <a:off x="3649980" y="419100"/>
          <a:ext cx="1158240" cy="426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</xdr:row>
          <xdr:rowOff>0</xdr:rowOff>
        </xdr:from>
        <xdr:to>
          <xdr:col>6</xdr:col>
          <xdr:colOff>1242060</xdr:colOff>
          <xdr:row>6</xdr:row>
          <xdr:rowOff>0</xdr:rowOff>
        </xdr:to>
        <xdr:sp macro="" textlink="">
          <xdr:nvSpPr>
            <xdr:cNvPr id="31746" name="Drop Down 2" hidden="1">
              <a:extLst>
                <a:ext uri="{63B3BB69-23CF-44E3-9099-C40C66FF867C}">
                  <a14:compatExt spid="_x0000_s317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144780</xdr:colOff>
          <xdr:row>4</xdr:row>
          <xdr:rowOff>335280</xdr:rowOff>
        </xdr:from>
        <xdr:to>
          <xdr:col>14</xdr:col>
          <xdr:colOff>662940</xdr:colOff>
          <xdr:row>5</xdr:row>
          <xdr:rowOff>7620</xdr:rowOff>
        </xdr:to>
        <xdr:sp macro="" textlink="">
          <xdr:nvSpPr>
            <xdr:cNvPr id="31747" name="Button 3" hidden="1">
              <a:extLst>
                <a:ext uri="{63B3BB69-23CF-44E3-9099-C40C66FF867C}">
                  <a14:compatExt spid="_x0000_s317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5</xdr:row>
          <xdr:rowOff>0</xdr:rowOff>
        </xdr:from>
        <xdr:to>
          <xdr:col>4</xdr:col>
          <xdr:colOff>0</xdr:colOff>
          <xdr:row>5</xdr:row>
          <xdr:rowOff>175260</xdr:rowOff>
        </xdr:to>
        <xdr:sp macro="" textlink="">
          <xdr:nvSpPr>
            <xdr:cNvPr id="31749" name="Drop Down 5" hidden="1">
              <a:extLst>
                <a:ext uri="{63B3BB69-23CF-44E3-9099-C40C66FF867C}">
                  <a14:compatExt spid="_x0000_s317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</xdr:row>
          <xdr:rowOff>0</xdr:rowOff>
        </xdr:from>
        <xdr:to>
          <xdr:col>7</xdr:col>
          <xdr:colOff>1242060</xdr:colOff>
          <xdr:row>6</xdr:row>
          <xdr:rowOff>0</xdr:rowOff>
        </xdr:to>
        <xdr:sp macro="" textlink="">
          <xdr:nvSpPr>
            <xdr:cNvPr id="31750" name="Drop Down 6" hidden="1">
              <a:extLst>
                <a:ext uri="{63B3BB69-23CF-44E3-9099-C40C66FF867C}">
                  <a14:compatExt spid="_x0000_s317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220980</xdr:colOff>
      <xdr:row>2</xdr:row>
      <xdr:rowOff>68580</xdr:rowOff>
    </xdr:from>
    <xdr:to>
      <xdr:col>8</xdr:col>
      <xdr:colOff>792480</xdr:colOff>
      <xdr:row>4</xdr:row>
      <xdr:rowOff>327660</xdr:rowOff>
    </xdr:to>
    <xdr:cxnSp macro="">
      <xdr:nvCxnSpPr>
        <xdr:cNvPr id="9" name="Straight Arrow Connector 8"/>
        <xdr:cNvCxnSpPr/>
      </xdr:nvCxnSpPr>
      <xdr:spPr>
        <a:xfrm flipV="1">
          <a:off x="7414260" y="434340"/>
          <a:ext cx="1836420" cy="6248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7</xdr:row>
          <xdr:rowOff>0</xdr:rowOff>
        </xdr:from>
        <xdr:to>
          <xdr:col>4</xdr:col>
          <xdr:colOff>0</xdr:colOff>
          <xdr:row>7</xdr:row>
          <xdr:rowOff>175260</xdr:rowOff>
        </xdr:to>
        <xdr:sp macro="" textlink="">
          <xdr:nvSpPr>
            <xdr:cNvPr id="31751" name="Drop Down 7" hidden="1">
              <a:extLst>
                <a:ext uri="{63B3BB69-23CF-44E3-9099-C40C66FF867C}">
                  <a14:compatExt spid="_x0000_s317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144780</xdr:colOff>
          <xdr:row>4</xdr:row>
          <xdr:rowOff>335280</xdr:rowOff>
        </xdr:from>
        <xdr:to>
          <xdr:col>7</xdr:col>
          <xdr:colOff>662940</xdr:colOff>
          <xdr:row>6</xdr:row>
          <xdr:rowOff>38100</xdr:rowOff>
        </xdr:to>
        <xdr:sp macro="" textlink="">
          <xdr:nvSpPr>
            <xdr:cNvPr id="32771" name="Button 3" hidden="1">
              <a:extLst>
                <a:ext uri="{63B3BB69-23CF-44E3-9099-C40C66FF867C}">
                  <a14:compatExt spid="_x0000_s327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</a:t>
              </a:r>
            </a:p>
          </xdr:txBody>
        </xdr:sp>
        <xdr:clientData fPrintsWithSheet="0"/>
      </xdr:twoCellAnchor>
    </mc:Choice>
    <mc:Fallback/>
  </mc:AlternateContent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838200</xdr:colOff>
      <xdr:row>2</xdr:row>
      <xdr:rowOff>53340</xdr:rowOff>
    </xdr:from>
    <xdr:to>
      <xdr:col>7</xdr:col>
      <xdr:colOff>0</xdr:colOff>
      <xdr:row>4</xdr:row>
      <xdr:rowOff>114300</xdr:rowOff>
    </xdr:to>
    <xdr:cxnSp macro="">
      <xdr:nvCxnSpPr>
        <xdr:cNvPr id="3" name="Straight Arrow Connector 2"/>
        <xdr:cNvCxnSpPr/>
      </xdr:nvCxnSpPr>
      <xdr:spPr>
        <a:xfrm flipV="1">
          <a:off x="4747260" y="419100"/>
          <a:ext cx="1341120" cy="426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1577340</xdr:colOff>
          <xdr:row>5</xdr:row>
          <xdr:rowOff>22860</xdr:rowOff>
        </xdr:from>
        <xdr:to>
          <xdr:col>5</xdr:col>
          <xdr:colOff>906780</xdr:colOff>
          <xdr:row>6</xdr:row>
          <xdr:rowOff>0</xdr:rowOff>
        </xdr:to>
        <xdr:sp macro="" textlink="">
          <xdr:nvSpPr>
            <xdr:cNvPr id="33794" name="Drop Down 2" hidden="1">
              <a:extLst>
                <a:ext uri="{63B3BB69-23CF-44E3-9099-C40C66FF867C}">
                  <a14:compatExt spid="_x0000_s337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144780</xdr:colOff>
          <xdr:row>4</xdr:row>
          <xdr:rowOff>335280</xdr:rowOff>
        </xdr:from>
        <xdr:to>
          <xdr:col>12</xdr:col>
          <xdr:colOff>662940</xdr:colOff>
          <xdr:row>6</xdr:row>
          <xdr:rowOff>7620</xdr:rowOff>
        </xdr:to>
        <xdr:sp macro="" textlink="">
          <xdr:nvSpPr>
            <xdr:cNvPr id="33795" name="Button 3" hidden="1">
              <a:extLst>
                <a:ext uri="{63B3BB69-23CF-44E3-9099-C40C66FF867C}">
                  <a14:compatExt spid="_x0000_s337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5</xdr:row>
          <xdr:rowOff>15240</xdr:rowOff>
        </xdr:from>
        <xdr:to>
          <xdr:col>6</xdr:col>
          <xdr:colOff>1242060</xdr:colOff>
          <xdr:row>6</xdr:row>
          <xdr:rowOff>0</xdr:rowOff>
        </xdr:to>
        <xdr:sp macro="" textlink="">
          <xdr:nvSpPr>
            <xdr:cNvPr id="33796" name="Drop Down 4" hidden="1">
              <a:extLst>
                <a:ext uri="{63B3BB69-23CF-44E3-9099-C40C66FF867C}">
                  <a14:compatExt spid="_x0000_s337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906780</xdr:colOff>
      <xdr:row>2</xdr:row>
      <xdr:rowOff>167640</xdr:rowOff>
    </xdr:from>
    <xdr:to>
      <xdr:col>8</xdr:col>
      <xdr:colOff>0</xdr:colOff>
      <xdr:row>5</xdr:row>
      <xdr:rowOff>45720</xdr:rowOff>
    </xdr:to>
    <xdr:cxnSp macro="">
      <xdr:nvCxnSpPr>
        <xdr:cNvPr id="7" name="Straight Arrow Connector 6"/>
        <xdr:cNvCxnSpPr/>
      </xdr:nvCxnSpPr>
      <xdr:spPr>
        <a:xfrm flipV="1">
          <a:off x="6835140" y="533400"/>
          <a:ext cx="1341120" cy="426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5</xdr:row>
          <xdr:rowOff>15240</xdr:rowOff>
        </xdr:from>
        <xdr:to>
          <xdr:col>3</xdr:col>
          <xdr:colOff>1082040</xdr:colOff>
          <xdr:row>5</xdr:row>
          <xdr:rowOff>160020</xdr:rowOff>
        </xdr:to>
        <xdr:sp macro="" textlink="">
          <xdr:nvSpPr>
            <xdr:cNvPr id="33797" name="Drop Down 5" hidden="1">
              <a:extLst>
                <a:ext uri="{63B3BB69-23CF-44E3-9099-C40C66FF867C}">
                  <a14:compatExt spid="_x0000_s337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</xdr:colOff>
          <xdr:row>5</xdr:row>
          <xdr:rowOff>15240</xdr:rowOff>
        </xdr:from>
        <xdr:to>
          <xdr:col>7</xdr:col>
          <xdr:colOff>1798320</xdr:colOff>
          <xdr:row>5</xdr:row>
          <xdr:rowOff>175260</xdr:rowOff>
        </xdr:to>
        <xdr:sp macro="" textlink="">
          <xdr:nvSpPr>
            <xdr:cNvPr id="33799" name="Drop Down 7" hidden="1">
              <a:extLst>
                <a:ext uri="{63B3BB69-23CF-44E3-9099-C40C66FF867C}">
                  <a14:compatExt spid="_x0000_s337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</xdr:colOff>
          <xdr:row>5</xdr:row>
          <xdr:rowOff>15240</xdr:rowOff>
        </xdr:from>
        <xdr:to>
          <xdr:col>9</xdr:col>
          <xdr:colOff>213360</xdr:colOff>
          <xdr:row>6</xdr:row>
          <xdr:rowOff>15240</xdr:rowOff>
        </xdr:to>
        <xdr:sp macro="" textlink="">
          <xdr:nvSpPr>
            <xdr:cNvPr id="33802" name="Drop Down 10" hidden="1">
              <a:extLst>
                <a:ext uri="{63B3BB69-23CF-44E3-9099-C40C66FF867C}">
                  <a14:compatExt spid="_x0000_s338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1676400</xdr:colOff>
      <xdr:row>3</xdr:row>
      <xdr:rowOff>137160</xdr:rowOff>
    </xdr:from>
    <xdr:to>
      <xdr:col>12</xdr:col>
      <xdr:colOff>2179320</xdr:colOff>
      <xdr:row>5</xdr:row>
      <xdr:rowOff>76200</xdr:rowOff>
    </xdr:to>
    <xdr:cxnSp macro="">
      <xdr:nvCxnSpPr>
        <xdr:cNvPr id="4" name="Straight Arrow Connector 3"/>
        <xdr:cNvCxnSpPr/>
      </xdr:nvCxnSpPr>
      <xdr:spPr>
        <a:xfrm flipV="1">
          <a:off x="11239500" y="685800"/>
          <a:ext cx="263652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</xdr:colOff>
          <xdr:row>5</xdr:row>
          <xdr:rowOff>7620</xdr:rowOff>
        </xdr:from>
        <xdr:to>
          <xdr:col>11</xdr:col>
          <xdr:colOff>975360</xdr:colOff>
          <xdr:row>5</xdr:row>
          <xdr:rowOff>175260</xdr:rowOff>
        </xdr:to>
        <xdr:sp macro="" textlink="">
          <xdr:nvSpPr>
            <xdr:cNvPr id="33803" name="Drop Down 11" hidden="1">
              <a:extLst>
                <a:ext uri="{63B3BB69-23CF-44E3-9099-C40C66FF867C}">
                  <a14:compatExt spid="_x0000_s338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83820</xdr:colOff>
      <xdr:row>29</xdr:row>
      <xdr:rowOff>45720</xdr:rowOff>
    </xdr:from>
    <xdr:to>
      <xdr:col>7</xdr:col>
      <xdr:colOff>1759468</xdr:colOff>
      <xdr:row>65</xdr:row>
      <xdr:rowOff>63786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420" y="5715000"/>
          <a:ext cx="8259328" cy="6601746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144780</xdr:colOff>
          <xdr:row>4</xdr:row>
          <xdr:rowOff>335280</xdr:rowOff>
        </xdr:from>
        <xdr:to>
          <xdr:col>7</xdr:col>
          <xdr:colOff>662940</xdr:colOff>
          <xdr:row>6</xdr:row>
          <xdr:rowOff>38100</xdr:rowOff>
        </xdr:to>
        <xdr:sp macro="" textlink="">
          <xdr:nvSpPr>
            <xdr:cNvPr id="34818" name="Button 2" hidden="1">
              <a:extLst>
                <a:ext uri="{63B3BB69-23CF-44E3-9099-C40C66FF867C}">
                  <a14:compatExt spid="_x0000_s348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</a:t>
              </a:r>
            </a:p>
          </xdr:txBody>
        </xdr:sp>
        <xdr:clientData fPrintsWithSheet="0"/>
      </xdr:twoCellAnchor>
    </mc:Choice>
    <mc:Fallback/>
  </mc:AlternateContent>
</xdr:wsDr>
</file>

<file path=xl/drawings/drawing6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228600</xdr:colOff>
          <xdr:row>3</xdr:row>
          <xdr:rowOff>0</xdr:rowOff>
        </xdr:from>
        <xdr:to>
          <xdr:col>10</xdr:col>
          <xdr:colOff>746760</xdr:colOff>
          <xdr:row>4</xdr:row>
          <xdr:rowOff>38100</xdr:rowOff>
        </xdr:to>
        <xdr:sp macro="" textlink="">
          <xdr:nvSpPr>
            <xdr:cNvPr id="35841" name="Button 1" hidden="1">
              <a:extLst>
                <a:ext uri="{63B3BB69-23CF-44E3-9099-C40C66FF867C}">
                  <a14:compatExt spid="_x0000_s358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</a:t>
              </a:r>
            </a:p>
          </xdr:txBody>
        </xdr:sp>
        <xdr:clientData fPrintsWithSheet="0"/>
      </xdr:twoCellAnchor>
    </mc:Choice>
    <mc:Fallback/>
  </mc:AlternateContent>
  <xdr:twoCellAnchor>
    <xdr:from>
      <xdr:col>2</xdr:col>
      <xdr:colOff>571500</xdr:colOff>
      <xdr:row>7</xdr:row>
      <xdr:rowOff>114300</xdr:rowOff>
    </xdr:from>
    <xdr:to>
      <xdr:col>2</xdr:col>
      <xdr:colOff>716280</xdr:colOff>
      <xdr:row>18</xdr:row>
      <xdr:rowOff>45720</xdr:rowOff>
    </xdr:to>
    <xdr:cxnSp macro="">
      <xdr:nvCxnSpPr>
        <xdr:cNvPr id="3" name="Straight Arrow Connector 2"/>
        <xdr:cNvCxnSpPr/>
      </xdr:nvCxnSpPr>
      <xdr:spPr>
        <a:xfrm>
          <a:off x="1790700" y="1394460"/>
          <a:ext cx="144780" cy="1943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20</xdr:row>
          <xdr:rowOff>144780</xdr:rowOff>
        </xdr:from>
        <xdr:to>
          <xdr:col>5</xdr:col>
          <xdr:colOff>914400</xdr:colOff>
          <xdr:row>21</xdr:row>
          <xdr:rowOff>175260</xdr:rowOff>
        </xdr:to>
        <xdr:sp macro="" textlink="">
          <xdr:nvSpPr>
            <xdr:cNvPr id="35842" name="Drop Down 2" hidden="1">
              <a:extLst>
                <a:ext uri="{63B3BB69-23CF-44E3-9099-C40C66FF867C}">
                  <a14:compatExt spid="_x0000_s358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2461260</xdr:colOff>
          <xdr:row>14</xdr:row>
          <xdr:rowOff>99060</xdr:rowOff>
        </xdr:from>
        <xdr:to>
          <xdr:col>3</xdr:col>
          <xdr:colOff>2979420</xdr:colOff>
          <xdr:row>15</xdr:row>
          <xdr:rowOff>137160</xdr:rowOff>
        </xdr:to>
        <xdr:sp macro="" textlink="">
          <xdr:nvSpPr>
            <xdr:cNvPr id="36866" name="Button 2" hidden="1">
              <a:extLst>
                <a:ext uri="{63B3BB69-23CF-44E3-9099-C40C66FF867C}">
                  <a14:compatExt spid="_x0000_s368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</a:t>
              </a:r>
            </a:p>
          </xdr:txBody>
        </xdr:sp>
        <xdr:clientData fPrintsWithSheet="0"/>
      </xdr:twoCellAnchor>
    </mc:Choice>
    <mc:Fallback/>
  </mc:AlternateContent>
</xdr:wsDr>
</file>

<file path=xl/drawings/drawing7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2560320</xdr:colOff>
          <xdr:row>11</xdr:row>
          <xdr:rowOff>106680</xdr:rowOff>
        </xdr:from>
        <xdr:to>
          <xdr:col>3</xdr:col>
          <xdr:colOff>3078480</xdr:colOff>
          <xdr:row>12</xdr:row>
          <xdr:rowOff>144780</xdr:rowOff>
        </xdr:to>
        <xdr:sp macro="" textlink="">
          <xdr:nvSpPr>
            <xdr:cNvPr id="37889" name="Button 1" hidden="1">
              <a:extLst>
                <a:ext uri="{63B3BB69-23CF-44E3-9099-C40C66FF867C}">
                  <a14:compatExt spid="_x0000_s378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3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1.xml"/><Relationship Id="rId5" Type="http://schemas.openxmlformats.org/officeDocument/2006/relationships/ctrlProp" Target="../ctrlProps/ctrlProp10.xml"/><Relationship Id="rId4" Type="http://schemas.openxmlformats.org/officeDocument/2006/relationships/ctrlProp" Target="../ctrlProps/ctrlProp9.xml"/><Relationship Id="rId9" Type="http://schemas.openxmlformats.org/officeDocument/2006/relationships/ctrlProp" Target="../ctrlProps/ctrlProp1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8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7.xml"/><Relationship Id="rId5" Type="http://schemas.openxmlformats.org/officeDocument/2006/relationships/ctrlProp" Target="../ctrlProps/ctrlProp16.xml"/><Relationship Id="rId4" Type="http://schemas.openxmlformats.org/officeDocument/2006/relationships/ctrlProp" Target="../ctrlProps/ctrlProp1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9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22.xml"/><Relationship Id="rId5" Type="http://schemas.openxmlformats.org/officeDocument/2006/relationships/ctrlProp" Target="../ctrlProps/ctrlProp21.xml"/><Relationship Id="rId4" Type="http://schemas.openxmlformats.org/officeDocument/2006/relationships/ctrlProp" Target="../ctrlProps/ctrlProp20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7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2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25.xml"/><Relationship Id="rId5" Type="http://schemas.openxmlformats.org/officeDocument/2006/relationships/ctrlProp" Target="../ctrlProps/ctrlProp24.xml"/><Relationship Id="rId4" Type="http://schemas.openxmlformats.org/officeDocument/2006/relationships/ctrlProp" Target="../ctrlProps/ctrlProp23.xml"/><Relationship Id="rId9" Type="http://schemas.openxmlformats.org/officeDocument/2006/relationships/ctrlProp" Target="../ctrlProps/ctrlProp2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32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31.xml"/><Relationship Id="rId5" Type="http://schemas.openxmlformats.org/officeDocument/2006/relationships/ctrlProp" Target="../ctrlProps/ctrlProp30.xml"/><Relationship Id="rId4" Type="http://schemas.openxmlformats.org/officeDocument/2006/relationships/ctrlProp" Target="../ctrlProps/ctrlProp2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36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35.xml"/><Relationship Id="rId5" Type="http://schemas.openxmlformats.org/officeDocument/2006/relationships/ctrlProp" Target="../ctrlProps/ctrlProp34.xml"/><Relationship Id="rId4" Type="http://schemas.openxmlformats.org/officeDocument/2006/relationships/ctrlProp" Target="../ctrlProps/ctrlProp33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1.xml"/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40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39.xml"/><Relationship Id="rId5" Type="http://schemas.openxmlformats.org/officeDocument/2006/relationships/ctrlProp" Target="../ctrlProps/ctrlProp38.xml"/><Relationship Id="rId4" Type="http://schemas.openxmlformats.org/officeDocument/2006/relationships/ctrlProp" Target="../ctrlProps/ctrlProp37.xml"/><Relationship Id="rId9" Type="http://schemas.openxmlformats.org/officeDocument/2006/relationships/ctrlProp" Target="../ctrlProps/ctrlProp4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46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45.xml"/><Relationship Id="rId5" Type="http://schemas.openxmlformats.org/officeDocument/2006/relationships/ctrlProp" Target="../ctrlProps/ctrlProp44.xml"/><Relationship Id="rId4" Type="http://schemas.openxmlformats.org/officeDocument/2006/relationships/ctrlProp" Target="../ctrlProps/ctrlProp4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7" Type="http://schemas.openxmlformats.org/officeDocument/2006/relationships/ctrlProp" Target="../ctrlProps/ctrlProp50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49.xml"/><Relationship Id="rId5" Type="http://schemas.openxmlformats.org/officeDocument/2006/relationships/ctrlProp" Target="../ctrlProps/ctrlProp48.xml"/><Relationship Id="rId4" Type="http://schemas.openxmlformats.org/officeDocument/2006/relationships/ctrlProp" Target="../ctrlProps/ctrlProp47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5.xml"/><Relationship Id="rId13" Type="http://schemas.openxmlformats.org/officeDocument/2006/relationships/ctrlProp" Target="../ctrlProps/ctrlProp60.xml"/><Relationship Id="rId18" Type="http://schemas.openxmlformats.org/officeDocument/2006/relationships/ctrlProp" Target="../ctrlProps/ctrlProp65.xml"/><Relationship Id="rId3" Type="http://schemas.openxmlformats.org/officeDocument/2006/relationships/vmlDrawing" Target="../drawings/vmlDrawing11.vml"/><Relationship Id="rId21" Type="http://schemas.openxmlformats.org/officeDocument/2006/relationships/ctrlProp" Target="../ctrlProps/ctrlProp68.xml"/><Relationship Id="rId7" Type="http://schemas.openxmlformats.org/officeDocument/2006/relationships/ctrlProp" Target="../ctrlProps/ctrlProp54.xml"/><Relationship Id="rId12" Type="http://schemas.openxmlformats.org/officeDocument/2006/relationships/ctrlProp" Target="../ctrlProps/ctrlProp59.xml"/><Relationship Id="rId17" Type="http://schemas.openxmlformats.org/officeDocument/2006/relationships/ctrlProp" Target="../ctrlProps/ctrlProp64.xml"/><Relationship Id="rId25" Type="http://schemas.openxmlformats.org/officeDocument/2006/relationships/ctrlProp" Target="../ctrlProps/ctrlProp72.xml"/><Relationship Id="rId2" Type="http://schemas.openxmlformats.org/officeDocument/2006/relationships/drawing" Target="../drawings/drawing12.xml"/><Relationship Id="rId16" Type="http://schemas.openxmlformats.org/officeDocument/2006/relationships/ctrlProp" Target="../ctrlProps/ctrlProp63.xml"/><Relationship Id="rId20" Type="http://schemas.openxmlformats.org/officeDocument/2006/relationships/ctrlProp" Target="../ctrlProps/ctrlProp67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53.xml"/><Relationship Id="rId11" Type="http://schemas.openxmlformats.org/officeDocument/2006/relationships/ctrlProp" Target="../ctrlProps/ctrlProp58.xml"/><Relationship Id="rId24" Type="http://schemas.openxmlformats.org/officeDocument/2006/relationships/ctrlProp" Target="../ctrlProps/ctrlProp71.xml"/><Relationship Id="rId5" Type="http://schemas.openxmlformats.org/officeDocument/2006/relationships/ctrlProp" Target="../ctrlProps/ctrlProp52.xml"/><Relationship Id="rId15" Type="http://schemas.openxmlformats.org/officeDocument/2006/relationships/ctrlProp" Target="../ctrlProps/ctrlProp62.xml"/><Relationship Id="rId23" Type="http://schemas.openxmlformats.org/officeDocument/2006/relationships/ctrlProp" Target="../ctrlProps/ctrlProp70.xml"/><Relationship Id="rId10" Type="http://schemas.openxmlformats.org/officeDocument/2006/relationships/ctrlProp" Target="../ctrlProps/ctrlProp57.xml"/><Relationship Id="rId19" Type="http://schemas.openxmlformats.org/officeDocument/2006/relationships/ctrlProp" Target="../ctrlProps/ctrlProp66.xml"/><Relationship Id="rId4" Type="http://schemas.openxmlformats.org/officeDocument/2006/relationships/ctrlProp" Target="../ctrlProps/ctrlProp51.xml"/><Relationship Id="rId9" Type="http://schemas.openxmlformats.org/officeDocument/2006/relationships/ctrlProp" Target="../ctrlProps/ctrlProp56.xml"/><Relationship Id="rId14" Type="http://schemas.openxmlformats.org/officeDocument/2006/relationships/ctrlProp" Target="../ctrlProps/ctrlProp61.xml"/><Relationship Id="rId22" Type="http://schemas.openxmlformats.org/officeDocument/2006/relationships/ctrlProp" Target="../ctrlProps/ctrlProp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Relationship Id="rId4" Type="http://schemas.openxmlformats.org/officeDocument/2006/relationships/ctrlProp" Target="../ctrlProps/ctrlProp7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Relationship Id="rId6" Type="http://schemas.openxmlformats.org/officeDocument/2006/relationships/ctrlProp" Target="../ctrlProps/ctrlProp76.xml"/><Relationship Id="rId5" Type="http://schemas.openxmlformats.org/officeDocument/2006/relationships/ctrlProp" Target="../ctrlProps/ctrlProp75.xml"/><Relationship Id="rId4" Type="http://schemas.openxmlformats.org/officeDocument/2006/relationships/ctrlProp" Target="../ctrlProps/ctrlProp74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2.xml"/><Relationship Id="rId3" Type="http://schemas.openxmlformats.org/officeDocument/2006/relationships/ctrlProp" Target="../ctrlProps/ctrlProp77.xml"/><Relationship Id="rId7" Type="http://schemas.openxmlformats.org/officeDocument/2006/relationships/ctrlProp" Target="../ctrlProps/ctrlProp81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5.xml"/><Relationship Id="rId6" Type="http://schemas.openxmlformats.org/officeDocument/2006/relationships/ctrlProp" Target="../ctrlProps/ctrlProp80.xml"/><Relationship Id="rId11" Type="http://schemas.openxmlformats.org/officeDocument/2006/relationships/ctrlProp" Target="../ctrlProps/ctrlProp85.xml"/><Relationship Id="rId5" Type="http://schemas.openxmlformats.org/officeDocument/2006/relationships/ctrlProp" Target="../ctrlProps/ctrlProp79.xml"/><Relationship Id="rId10" Type="http://schemas.openxmlformats.org/officeDocument/2006/relationships/ctrlProp" Target="../ctrlProps/ctrlProp84.xml"/><Relationship Id="rId4" Type="http://schemas.openxmlformats.org/officeDocument/2006/relationships/ctrlProp" Target="../ctrlProps/ctrlProp78.xml"/><Relationship Id="rId9" Type="http://schemas.openxmlformats.org/officeDocument/2006/relationships/ctrlProp" Target="../ctrlProps/ctrlProp8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6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7.xml"/><Relationship Id="rId7" Type="http://schemas.openxmlformats.org/officeDocument/2006/relationships/ctrlProp" Target="../ctrlProps/ctrlProp91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8.xml"/><Relationship Id="rId6" Type="http://schemas.openxmlformats.org/officeDocument/2006/relationships/ctrlProp" Target="../ctrlProps/ctrlProp90.xml"/><Relationship Id="rId5" Type="http://schemas.openxmlformats.org/officeDocument/2006/relationships/ctrlProp" Target="../ctrlProps/ctrlProp89.xml"/><Relationship Id="rId4" Type="http://schemas.openxmlformats.org/officeDocument/2006/relationships/ctrlProp" Target="../ctrlProps/ctrlProp8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2.xml"/><Relationship Id="rId7" Type="http://schemas.openxmlformats.org/officeDocument/2006/relationships/ctrlProp" Target="../ctrlProps/ctrlProp96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9.xml"/><Relationship Id="rId6" Type="http://schemas.openxmlformats.org/officeDocument/2006/relationships/ctrlProp" Target="../ctrlProps/ctrlProp95.xml"/><Relationship Id="rId5" Type="http://schemas.openxmlformats.org/officeDocument/2006/relationships/ctrlProp" Target="../ctrlProps/ctrlProp94.xml"/><Relationship Id="rId4" Type="http://schemas.openxmlformats.org/officeDocument/2006/relationships/ctrlProp" Target="../ctrlProps/ctrlProp9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7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21.xml"/><Relationship Id="rId6" Type="http://schemas.openxmlformats.org/officeDocument/2006/relationships/ctrlProp" Target="../ctrlProps/ctrlProp100.xml"/><Relationship Id="rId5" Type="http://schemas.openxmlformats.org/officeDocument/2006/relationships/ctrlProp" Target="../ctrlProps/ctrlProp99.xml"/><Relationship Id="rId4" Type="http://schemas.openxmlformats.org/officeDocument/2006/relationships/ctrlProp" Target="../ctrlProps/ctrlProp98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1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22.xml"/><Relationship Id="rId4" Type="http://schemas.openxmlformats.org/officeDocument/2006/relationships/ctrlProp" Target="../ctrlProps/ctrlProp102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3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23.xml"/><Relationship Id="rId5" Type="http://schemas.openxmlformats.org/officeDocument/2006/relationships/ctrlProp" Target="../ctrlProps/ctrlProp105.xml"/><Relationship Id="rId4" Type="http://schemas.openxmlformats.org/officeDocument/2006/relationships/ctrlProp" Target="../ctrlProps/ctrlProp10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6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4.xml"/><Relationship Id="rId5" Type="http://schemas.openxmlformats.org/officeDocument/2006/relationships/ctrlProp" Target="../ctrlProps/ctrlProp108.xml"/><Relationship Id="rId4" Type="http://schemas.openxmlformats.org/officeDocument/2006/relationships/ctrlProp" Target="../ctrlProps/ctrlProp10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9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5.xml"/><Relationship Id="rId5" Type="http://schemas.openxmlformats.org/officeDocument/2006/relationships/ctrlProp" Target="../ctrlProps/ctrlProp111.xml"/><Relationship Id="rId4" Type="http://schemas.openxmlformats.org/officeDocument/2006/relationships/ctrlProp" Target="../ctrlProps/ctrlProp110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2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3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7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4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5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5.bin"/><Relationship Id="rId4" Type="http://schemas.openxmlformats.org/officeDocument/2006/relationships/ctrlProp" Target="../ctrlProps/ctrlProp116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16.bin"/><Relationship Id="rId4" Type="http://schemas.openxmlformats.org/officeDocument/2006/relationships/ctrlProp" Target="../ctrlProps/ctrlProp117.xml"/></Relationships>
</file>

<file path=xl/worksheets/_rels/sheet4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2.xml"/><Relationship Id="rId3" Type="http://schemas.openxmlformats.org/officeDocument/2006/relationships/vmlDrawing" Target="../drawings/vmlDrawing29.vml"/><Relationship Id="rId7" Type="http://schemas.openxmlformats.org/officeDocument/2006/relationships/ctrlProp" Target="../ctrlProps/ctrlProp121.x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17.bin"/><Relationship Id="rId6" Type="http://schemas.openxmlformats.org/officeDocument/2006/relationships/ctrlProp" Target="../ctrlProps/ctrlProp120.xml"/><Relationship Id="rId11" Type="http://schemas.openxmlformats.org/officeDocument/2006/relationships/ctrlProp" Target="../ctrlProps/ctrlProp125.xml"/><Relationship Id="rId5" Type="http://schemas.openxmlformats.org/officeDocument/2006/relationships/ctrlProp" Target="../ctrlProps/ctrlProp119.xml"/><Relationship Id="rId10" Type="http://schemas.openxmlformats.org/officeDocument/2006/relationships/ctrlProp" Target="../ctrlProps/ctrlProp124.xml"/><Relationship Id="rId4" Type="http://schemas.openxmlformats.org/officeDocument/2006/relationships/ctrlProp" Target="../ctrlProps/ctrlProp118.xml"/><Relationship Id="rId9" Type="http://schemas.openxmlformats.org/officeDocument/2006/relationships/ctrlProp" Target="../ctrlProps/ctrlProp123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18.bin"/><Relationship Id="rId4" Type="http://schemas.openxmlformats.org/officeDocument/2006/relationships/ctrlProp" Target="../ctrlProps/ctrlProp126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19.bin"/><Relationship Id="rId4" Type="http://schemas.openxmlformats.org/officeDocument/2006/relationships/ctrlProp" Target="../ctrlProps/ctrlProp127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0.bin"/><Relationship Id="rId4" Type="http://schemas.openxmlformats.org/officeDocument/2006/relationships/ctrlProp" Target="../ctrlProps/ctrlProp128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21.bin"/><Relationship Id="rId4" Type="http://schemas.openxmlformats.org/officeDocument/2006/relationships/ctrlProp" Target="../ctrlProps/ctrlProp129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22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0.xml"/><Relationship Id="rId2" Type="http://schemas.openxmlformats.org/officeDocument/2006/relationships/vmlDrawing" Target="../drawings/vmlDrawing34.vml"/><Relationship Id="rId1" Type="http://schemas.openxmlformats.org/officeDocument/2006/relationships/drawing" Target="../drawings/drawing42.xml"/><Relationship Id="rId5" Type="http://schemas.openxmlformats.org/officeDocument/2006/relationships/ctrlProp" Target="../ctrlProps/ctrlProp132.xml"/><Relationship Id="rId4" Type="http://schemas.openxmlformats.org/officeDocument/2006/relationships/ctrlProp" Target="../ctrlProps/ctrlProp131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3.xml"/><Relationship Id="rId2" Type="http://schemas.openxmlformats.org/officeDocument/2006/relationships/vmlDrawing" Target="../drawings/vmlDrawing35.vml"/><Relationship Id="rId1" Type="http://schemas.openxmlformats.org/officeDocument/2006/relationships/drawing" Target="../drawings/drawing43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4.xml"/><Relationship Id="rId2" Type="http://schemas.openxmlformats.org/officeDocument/2006/relationships/vmlDrawing" Target="../drawings/vmlDrawing36.vml"/><Relationship Id="rId1" Type="http://schemas.openxmlformats.org/officeDocument/2006/relationships/drawing" Target="../drawings/drawing44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5.xml"/><Relationship Id="rId2" Type="http://schemas.openxmlformats.org/officeDocument/2006/relationships/vmlDrawing" Target="../drawings/vmlDrawing37.vml"/><Relationship Id="rId1" Type="http://schemas.openxmlformats.org/officeDocument/2006/relationships/drawing" Target="../drawings/drawing45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6.xml"/><Relationship Id="rId2" Type="http://schemas.openxmlformats.org/officeDocument/2006/relationships/vmlDrawing" Target="../drawings/vmlDrawing38.vml"/><Relationship Id="rId1" Type="http://schemas.openxmlformats.org/officeDocument/2006/relationships/drawing" Target="../drawings/drawing46.xml"/><Relationship Id="rId5" Type="http://schemas.openxmlformats.org/officeDocument/2006/relationships/ctrlProp" Target="../ctrlProps/ctrlProp138.xml"/><Relationship Id="rId4" Type="http://schemas.openxmlformats.org/officeDocument/2006/relationships/ctrlProp" Target="../ctrlProps/ctrlProp137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9.xml"/><Relationship Id="rId2" Type="http://schemas.openxmlformats.org/officeDocument/2006/relationships/vmlDrawing" Target="../drawings/vmlDrawing39.vml"/><Relationship Id="rId1" Type="http://schemas.openxmlformats.org/officeDocument/2006/relationships/drawing" Target="../drawings/drawing47.xml"/><Relationship Id="rId5" Type="http://schemas.openxmlformats.org/officeDocument/2006/relationships/ctrlProp" Target="../ctrlProps/ctrlProp141.xml"/><Relationship Id="rId4" Type="http://schemas.openxmlformats.org/officeDocument/2006/relationships/ctrlProp" Target="../ctrlProps/ctrlProp140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2.xml"/><Relationship Id="rId2" Type="http://schemas.openxmlformats.org/officeDocument/2006/relationships/vmlDrawing" Target="../drawings/vmlDrawing40.vml"/><Relationship Id="rId1" Type="http://schemas.openxmlformats.org/officeDocument/2006/relationships/drawing" Target="../drawings/drawing48.xml"/><Relationship Id="rId5" Type="http://schemas.openxmlformats.org/officeDocument/2006/relationships/ctrlProp" Target="../ctrlProps/ctrlProp144.xml"/><Relationship Id="rId4" Type="http://schemas.openxmlformats.org/officeDocument/2006/relationships/ctrlProp" Target="../ctrlProps/ctrlProp143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5.xml"/><Relationship Id="rId2" Type="http://schemas.openxmlformats.org/officeDocument/2006/relationships/vmlDrawing" Target="../drawings/vmlDrawing41.vml"/><Relationship Id="rId1" Type="http://schemas.openxmlformats.org/officeDocument/2006/relationships/drawing" Target="../drawings/drawing49.xml"/><Relationship Id="rId5" Type="http://schemas.openxmlformats.org/officeDocument/2006/relationships/ctrlProp" Target="../ctrlProps/ctrlProp147.xml"/><Relationship Id="rId4" Type="http://schemas.openxmlformats.org/officeDocument/2006/relationships/ctrlProp" Target="../ctrlProps/ctrlProp146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8.xml"/><Relationship Id="rId2" Type="http://schemas.openxmlformats.org/officeDocument/2006/relationships/vmlDrawing" Target="../drawings/vmlDrawing42.vml"/><Relationship Id="rId1" Type="http://schemas.openxmlformats.org/officeDocument/2006/relationships/drawing" Target="../drawings/drawing50.xml"/><Relationship Id="rId5" Type="http://schemas.openxmlformats.org/officeDocument/2006/relationships/ctrlProp" Target="../ctrlProps/ctrlProp150.xml"/><Relationship Id="rId4" Type="http://schemas.openxmlformats.org/officeDocument/2006/relationships/ctrlProp" Target="../ctrlProps/ctrlProp149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1.xml"/><Relationship Id="rId2" Type="http://schemas.openxmlformats.org/officeDocument/2006/relationships/vmlDrawing" Target="../drawings/vmlDrawing43.vml"/><Relationship Id="rId1" Type="http://schemas.openxmlformats.org/officeDocument/2006/relationships/drawing" Target="../drawings/drawing51.xml"/><Relationship Id="rId5" Type="http://schemas.openxmlformats.org/officeDocument/2006/relationships/ctrlProp" Target="../ctrlProps/ctrlProp153.xml"/><Relationship Id="rId4" Type="http://schemas.openxmlformats.org/officeDocument/2006/relationships/ctrlProp" Target="../ctrlProps/ctrlProp152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4.xml"/><Relationship Id="rId2" Type="http://schemas.openxmlformats.org/officeDocument/2006/relationships/vmlDrawing" Target="../drawings/vmlDrawing44.vml"/><Relationship Id="rId1" Type="http://schemas.openxmlformats.org/officeDocument/2006/relationships/drawing" Target="../drawings/drawing52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5.xml"/><Relationship Id="rId2" Type="http://schemas.openxmlformats.org/officeDocument/2006/relationships/vmlDrawing" Target="../drawings/vmlDrawing45.vml"/><Relationship Id="rId1" Type="http://schemas.openxmlformats.org/officeDocument/2006/relationships/drawing" Target="../drawings/drawing53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/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24.bin"/><Relationship Id="rId5" Type="http://schemas.openxmlformats.org/officeDocument/2006/relationships/ctrlProp" Target="../ctrlProps/ctrlProp157.xml"/><Relationship Id="rId4" Type="http://schemas.openxmlformats.org/officeDocument/2006/relationships/ctrlProp" Target="../ctrlProps/ctrlProp156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8.xml"/><Relationship Id="rId2" Type="http://schemas.openxmlformats.org/officeDocument/2006/relationships/vmlDrawing" Target="../drawings/vmlDrawing47.vml"/><Relationship Id="rId1" Type="http://schemas.openxmlformats.org/officeDocument/2006/relationships/drawing" Target="../drawings/drawing55.xml"/><Relationship Id="rId4" Type="http://schemas.openxmlformats.org/officeDocument/2006/relationships/ctrlProp" Target="../ctrlProps/ctrlProp159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60.xml"/><Relationship Id="rId2" Type="http://schemas.openxmlformats.org/officeDocument/2006/relationships/vmlDrawing" Target="../drawings/vmlDrawing48.vml"/><Relationship Id="rId1" Type="http://schemas.openxmlformats.org/officeDocument/2006/relationships/drawing" Target="../drawings/drawing56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9.vml"/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26.bin"/><Relationship Id="rId5" Type="http://schemas.openxmlformats.org/officeDocument/2006/relationships/ctrlProp" Target="../ctrlProps/ctrlProp162.xml"/><Relationship Id="rId4" Type="http://schemas.openxmlformats.org/officeDocument/2006/relationships/ctrlProp" Target="../ctrlProps/ctrlProp161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63.xml"/><Relationship Id="rId2" Type="http://schemas.openxmlformats.org/officeDocument/2006/relationships/vmlDrawing" Target="../drawings/vmlDrawing50.vml"/><Relationship Id="rId1" Type="http://schemas.openxmlformats.org/officeDocument/2006/relationships/drawing" Target="../drawings/drawing58.xm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64.xml"/><Relationship Id="rId2" Type="http://schemas.openxmlformats.org/officeDocument/2006/relationships/vmlDrawing" Target="../drawings/vmlDrawing51.vml"/><Relationship Id="rId1" Type="http://schemas.openxmlformats.org/officeDocument/2006/relationships/drawing" Target="../drawings/drawing59.xml"/><Relationship Id="rId6" Type="http://schemas.openxmlformats.org/officeDocument/2006/relationships/ctrlProp" Target="../ctrlProps/ctrlProp167.xml"/><Relationship Id="rId5" Type="http://schemas.openxmlformats.org/officeDocument/2006/relationships/ctrlProp" Target="../ctrlProps/ctrlProp166.xml"/><Relationship Id="rId4" Type="http://schemas.openxmlformats.org/officeDocument/2006/relationships/ctrlProp" Target="../ctrlProps/ctrlProp165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68.xml"/><Relationship Id="rId2" Type="http://schemas.openxmlformats.org/officeDocument/2006/relationships/vmlDrawing" Target="../drawings/vmlDrawing52.vml"/><Relationship Id="rId1" Type="http://schemas.openxmlformats.org/officeDocument/2006/relationships/drawing" Target="../drawings/drawing60.xml"/><Relationship Id="rId6" Type="http://schemas.openxmlformats.org/officeDocument/2006/relationships/ctrlProp" Target="../ctrlProps/ctrlProp171.xml"/><Relationship Id="rId5" Type="http://schemas.openxmlformats.org/officeDocument/2006/relationships/ctrlProp" Target="../ctrlProps/ctrlProp170.xml"/><Relationship Id="rId4" Type="http://schemas.openxmlformats.org/officeDocument/2006/relationships/ctrlProp" Target="../ctrlProps/ctrlProp169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72.xml"/><Relationship Id="rId2" Type="http://schemas.openxmlformats.org/officeDocument/2006/relationships/vmlDrawing" Target="../drawings/vmlDrawing53.vml"/><Relationship Id="rId1" Type="http://schemas.openxmlformats.org/officeDocument/2006/relationships/drawing" Target="../drawings/drawing61.xml"/><Relationship Id="rId4" Type="http://schemas.openxmlformats.org/officeDocument/2006/relationships/ctrlProp" Target="../ctrlProps/ctrlProp173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74.xml"/><Relationship Id="rId2" Type="http://schemas.openxmlformats.org/officeDocument/2006/relationships/vmlDrawing" Target="../drawings/vmlDrawing54.vml"/><Relationship Id="rId1" Type="http://schemas.openxmlformats.org/officeDocument/2006/relationships/drawing" Target="../drawings/drawing62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75.xml"/><Relationship Id="rId2" Type="http://schemas.openxmlformats.org/officeDocument/2006/relationships/vmlDrawing" Target="../drawings/vmlDrawing55.vml"/><Relationship Id="rId1" Type="http://schemas.openxmlformats.org/officeDocument/2006/relationships/drawing" Target="../drawings/drawing63.xml"/></Relationships>
</file>

<file path=xl/worksheets/_rels/sheet7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80.xml"/><Relationship Id="rId3" Type="http://schemas.openxmlformats.org/officeDocument/2006/relationships/vmlDrawing" Target="../drawings/vmlDrawing56.vml"/><Relationship Id="rId7" Type="http://schemas.openxmlformats.org/officeDocument/2006/relationships/ctrlProp" Target="../ctrlProps/ctrlProp179.xml"/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27.bin"/><Relationship Id="rId6" Type="http://schemas.openxmlformats.org/officeDocument/2006/relationships/ctrlProp" Target="../ctrlProps/ctrlProp178.xml"/><Relationship Id="rId5" Type="http://schemas.openxmlformats.org/officeDocument/2006/relationships/ctrlProp" Target="../ctrlProps/ctrlProp177.xml"/><Relationship Id="rId4" Type="http://schemas.openxmlformats.org/officeDocument/2006/relationships/ctrlProp" Target="../ctrlProps/ctrlProp176.xml"/><Relationship Id="rId9" Type="http://schemas.openxmlformats.org/officeDocument/2006/relationships/ctrlProp" Target="../ctrlProps/ctrlProp181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86.xml"/><Relationship Id="rId3" Type="http://schemas.openxmlformats.org/officeDocument/2006/relationships/vmlDrawing" Target="../drawings/vmlDrawing57.vml"/><Relationship Id="rId7" Type="http://schemas.openxmlformats.org/officeDocument/2006/relationships/ctrlProp" Target="../ctrlProps/ctrlProp185.xml"/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29.bin"/><Relationship Id="rId6" Type="http://schemas.openxmlformats.org/officeDocument/2006/relationships/ctrlProp" Target="../ctrlProps/ctrlProp184.xml"/><Relationship Id="rId5" Type="http://schemas.openxmlformats.org/officeDocument/2006/relationships/ctrlProp" Target="../ctrlProps/ctrlProp183.xml"/><Relationship Id="rId4" Type="http://schemas.openxmlformats.org/officeDocument/2006/relationships/ctrlProp" Target="../ctrlProps/ctrlProp182.xml"/><Relationship Id="rId9" Type="http://schemas.openxmlformats.org/officeDocument/2006/relationships/ctrlProp" Target="../ctrlProps/ctrlProp187.xm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88.xml"/><Relationship Id="rId2" Type="http://schemas.openxmlformats.org/officeDocument/2006/relationships/vmlDrawing" Target="../drawings/vmlDrawing58.vml"/><Relationship Id="rId1" Type="http://schemas.openxmlformats.org/officeDocument/2006/relationships/drawing" Target="../drawings/drawing66.xml"/></Relationships>
</file>

<file path=xl/worksheets/_rels/sheet8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94.xml"/><Relationship Id="rId3" Type="http://schemas.openxmlformats.org/officeDocument/2006/relationships/ctrlProp" Target="../ctrlProps/ctrlProp189.xml"/><Relationship Id="rId7" Type="http://schemas.openxmlformats.org/officeDocument/2006/relationships/ctrlProp" Target="../ctrlProps/ctrlProp193.xml"/><Relationship Id="rId2" Type="http://schemas.openxmlformats.org/officeDocument/2006/relationships/vmlDrawing" Target="../drawings/vmlDrawing59.vml"/><Relationship Id="rId1" Type="http://schemas.openxmlformats.org/officeDocument/2006/relationships/drawing" Target="../drawings/drawing67.xml"/><Relationship Id="rId6" Type="http://schemas.openxmlformats.org/officeDocument/2006/relationships/ctrlProp" Target="../ctrlProps/ctrlProp192.xml"/><Relationship Id="rId5" Type="http://schemas.openxmlformats.org/officeDocument/2006/relationships/ctrlProp" Target="../ctrlProps/ctrlProp191.xml"/><Relationship Id="rId4" Type="http://schemas.openxmlformats.org/officeDocument/2006/relationships/ctrlProp" Target="../ctrlProps/ctrlProp190.xml"/><Relationship Id="rId9" Type="http://schemas.openxmlformats.org/officeDocument/2006/relationships/ctrlProp" Target="../ctrlProps/ctrlProp195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96.xml"/><Relationship Id="rId2" Type="http://schemas.openxmlformats.org/officeDocument/2006/relationships/vmlDrawing" Target="../drawings/vmlDrawing60.vml"/><Relationship Id="rId1" Type="http://schemas.openxmlformats.org/officeDocument/2006/relationships/drawing" Target="../drawings/drawing68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97.xml"/><Relationship Id="rId2" Type="http://schemas.openxmlformats.org/officeDocument/2006/relationships/vmlDrawing" Target="../drawings/vmlDrawing61.vml"/><Relationship Id="rId1" Type="http://schemas.openxmlformats.org/officeDocument/2006/relationships/drawing" Target="../drawings/drawing69.xml"/><Relationship Id="rId4" Type="http://schemas.openxmlformats.org/officeDocument/2006/relationships/ctrlProp" Target="../ctrlProps/ctrlProp198.xm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99.xml"/><Relationship Id="rId2" Type="http://schemas.openxmlformats.org/officeDocument/2006/relationships/vmlDrawing" Target="../drawings/vmlDrawing62.vml"/><Relationship Id="rId1" Type="http://schemas.openxmlformats.org/officeDocument/2006/relationships/drawing" Target="../drawings/drawing70.xm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00.xml"/><Relationship Id="rId2" Type="http://schemas.openxmlformats.org/officeDocument/2006/relationships/vmlDrawing" Target="../drawings/vmlDrawing63.vml"/><Relationship Id="rId1" Type="http://schemas.openxmlformats.org/officeDocument/2006/relationships/drawing" Target="../drawings/drawing71.xml"/></Relationships>
</file>

<file path=xl/worksheets/_rels/sheet85.xml.rels><?xml version="1.0" encoding="UTF-8" standalone="yes"?>
<Relationships xmlns="http://schemas.openxmlformats.org/package/2006/relationships"><Relationship Id="rId8" Type="http://schemas.openxmlformats.org/officeDocument/2006/relationships/hyperlink" Target="mailto:accounts@triplesbd.com" TargetMode="External"/><Relationship Id="rId3" Type="http://schemas.openxmlformats.org/officeDocument/2006/relationships/hyperlink" Target="mailto:tsl.doc@triplesbd.com" TargetMode="External"/><Relationship Id="rId7" Type="http://schemas.openxmlformats.org/officeDocument/2006/relationships/hyperlink" Target="mailto:accounts@triplesbd.com" TargetMode="External"/><Relationship Id="rId2" Type="http://schemas.openxmlformats.org/officeDocument/2006/relationships/hyperlink" Target="mailto:tsl.pricing@triplesbd.com" TargetMode="External"/><Relationship Id="rId1" Type="http://schemas.openxmlformats.org/officeDocument/2006/relationships/hyperlink" Target="mailto:tsl.pricing@triplesbd.com" TargetMode="External"/><Relationship Id="rId6" Type="http://schemas.openxmlformats.org/officeDocument/2006/relationships/hyperlink" Target="mailto:tsl.ops@triplesbd.com" TargetMode="External"/><Relationship Id="rId5" Type="http://schemas.openxmlformats.org/officeDocument/2006/relationships/hyperlink" Target="mailto:tsl.ops@triplesbd.com" TargetMode="External"/><Relationship Id="rId10" Type="http://schemas.openxmlformats.org/officeDocument/2006/relationships/hyperlink" Target="mailto:tsl.sales1@triplesbd.com" TargetMode="External"/><Relationship Id="rId4" Type="http://schemas.openxmlformats.org/officeDocument/2006/relationships/hyperlink" Target="mailto:tsl.doc@triplesbd.com" TargetMode="External"/><Relationship Id="rId9" Type="http://schemas.openxmlformats.org/officeDocument/2006/relationships/hyperlink" Target="mailto:tsl.sales1@triplesb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50"/>
  <sheetViews>
    <sheetView showGridLines="0" zoomScaleNormal="100" workbookViewId="0">
      <selection activeCell="I7" sqref="I7"/>
    </sheetView>
  </sheetViews>
  <sheetFormatPr defaultRowHeight="14.4" x14ac:dyDescent="0.3"/>
  <cols>
    <col min="1" max="1" width="5.109375" customWidth="1"/>
    <col min="2" max="2" width="20.77734375" style="60" customWidth="1"/>
    <col min="3" max="3" width="3.21875" style="60" customWidth="1"/>
    <col min="4" max="4" width="18.88671875" style="60" bestFit="1" customWidth="1"/>
    <col min="5" max="5" width="3.33203125" style="60" customWidth="1"/>
    <col min="6" max="6" width="8.88671875" style="60"/>
    <col min="7" max="7" width="7.88671875" style="60" customWidth="1"/>
    <col min="8" max="8" width="4.5546875" style="60" customWidth="1"/>
    <col min="9" max="9" width="18.6640625" style="60" bestFit="1" customWidth="1"/>
    <col min="10" max="10" width="4.6640625" style="60" customWidth="1"/>
    <col min="11" max="11" width="19" style="60" bestFit="1" customWidth="1"/>
    <col min="12" max="12" width="4.33203125" style="60" customWidth="1"/>
    <col min="13" max="13" width="8.109375" style="60" customWidth="1"/>
    <col min="14" max="14" width="8.88671875" style="60"/>
    <col min="15" max="15" width="6.77734375" style="60" customWidth="1"/>
    <col min="16" max="16" width="8.88671875" style="60"/>
    <col min="17" max="17" width="10.33203125" style="60" customWidth="1"/>
    <col min="18" max="18" width="10.5546875" style="60" customWidth="1"/>
    <col min="19" max="19" width="3.33203125" customWidth="1"/>
    <col min="20" max="20" width="21.33203125" bestFit="1" customWidth="1"/>
    <col min="21" max="21" width="2.5546875" customWidth="1"/>
    <col min="22" max="22" width="14.77734375" bestFit="1" customWidth="1"/>
  </cols>
  <sheetData>
    <row r="1" spans="2:25" x14ac:dyDescent="0.3">
      <c r="B1" s="54"/>
      <c r="D1" s="11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spans="2:25" x14ac:dyDescent="0.3">
      <c r="B2" s="53" t="s">
        <v>0</v>
      </c>
      <c r="D2" s="56" t="s">
        <v>12</v>
      </c>
      <c r="F2" s="64" t="s">
        <v>5</v>
      </c>
      <c r="G2" s="64"/>
      <c r="H2" s="63"/>
      <c r="I2" s="64" t="s">
        <v>7</v>
      </c>
      <c r="J2" s="63"/>
      <c r="K2" s="64" t="s">
        <v>8</v>
      </c>
      <c r="L2" s="64"/>
      <c r="M2" s="64" t="s">
        <v>10</v>
      </c>
      <c r="N2" s="63"/>
      <c r="O2" s="63"/>
      <c r="P2" s="59" t="s">
        <v>15</v>
      </c>
      <c r="R2" s="59" t="s">
        <v>16</v>
      </c>
      <c r="T2" s="317" t="s">
        <v>25</v>
      </c>
      <c r="V2" t="s">
        <v>433</v>
      </c>
      <c r="W2" s="200" t="s">
        <v>92</v>
      </c>
    </row>
    <row r="3" spans="2:25" x14ac:dyDescent="0.3">
      <c r="B3" s="55" t="s">
        <v>64</v>
      </c>
      <c r="D3" s="57" t="s">
        <v>13</v>
      </c>
      <c r="F3" s="65" t="s">
        <v>666</v>
      </c>
      <c r="G3" s="63"/>
      <c r="H3" s="63"/>
      <c r="I3" s="65" t="s">
        <v>6</v>
      </c>
      <c r="J3" s="63"/>
      <c r="K3" s="65" t="s">
        <v>864</v>
      </c>
      <c r="L3" s="63"/>
      <c r="M3" s="65" t="s">
        <v>11</v>
      </c>
      <c r="N3" s="63"/>
      <c r="O3" s="63"/>
      <c r="P3" s="61" t="s">
        <v>17</v>
      </c>
      <c r="R3" s="61" t="s">
        <v>228</v>
      </c>
      <c r="T3" t="s">
        <v>30</v>
      </c>
      <c r="V3" s="2" t="s">
        <v>651</v>
      </c>
      <c r="W3" t="s">
        <v>527</v>
      </c>
    </row>
    <row r="4" spans="2:25" x14ac:dyDescent="0.3">
      <c r="B4" s="55" t="s">
        <v>65</v>
      </c>
      <c r="D4" s="57" t="s">
        <v>390</v>
      </c>
      <c r="F4" s="65" t="s">
        <v>665</v>
      </c>
      <c r="G4" s="63"/>
      <c r="H4" s="63"/>
      <c r="I4" s="65" t="s">
        <v>846</v>
      </c>
      <c r="J4" s="63"/>
      <c r="K4" s="65" t="s">
        <v>863</v>
      </c>
      <c r="L4" s="63"/>
      <c r="M4" s="65" t="s">
        <v>1154</v>
      </c>
      <c r="N4" s="63"/>
      <c r="O4" s="63"/>
      <c r="P4" s="61" t="s">
        <v>18</v>
      </c>
      <c r="R4" s="61" t="s">
        <v>257</v>
      </c>
      <c r="T4" t="s">
        <v>31</v>
      </c>
      <c r="V4" t="s">
        <v>652</v>
      </c>
      <c r="W4" s="2" t="s">
        <v>507</v>
      </c>
    </row>
    <row r="5" spans="2:25" x14ac:dyDescent="0.3">
      <c r="B5" s="55" t="s">
        <v>66</v>
      </c>
      <c r="D5" s="65" t="s">
        <v>3</v>
      </c>
      <c r="F5" s="65" t="s">
        <v>563</v>
      </c>
      <c r="G5" s="63"/>
      <c r="H5" s="63"/>
      <c r="I5" s="65" t="s">
        <v>607</v>
      </c>
      <c r="J5" s="63"/>
      <c r="K5" s="65" t="s">
        <v>894</v>
      </c>
      <c r="L5" s="63"/>
      <c r="M5" s="65" t="s">
        <v>1147</v>
      </c>
      <c r="N5" s="63"/>
      <c r="O5" s="63"/>
      <c r="P5" s="61" t="s">
        <v>19</v>
      </c>
      <c r="R5" s="61" t="s">
        <v>23</v>
      </c>
      <c r="T5" t="s">
        <v>32</v>
      </c>
      <c r="V5" t="s">
        <v>649</v>
      </c>
      <c r="W5" s="2" t="s">
        <v>1537</v>
      </c>
      <c r="Y5" t="s">
        <v>583</v>
      </c>
    </row>
    <row r="6" spans="2:25" x14ac:dyDescent="0.3">
      <c r="B6" s="55" t="s">
        <v>67</v>
      </c>
      <c r="D6" s="65" t="s">
        <v>4</v>
      </c>
      <c r="F6" s="65" t="s">
        <v>704</v>
      </c>
      <c r="G6" s="63"/>
      <c r="H6" s="63"/>
      <c r="I6" s="65" t="s">
        <v>782</v>
      </c>
      <c r="J6" s="63"/>
      <c r="K6" s="63" t="s">
        <v>919</v>
      </c>
      <c r="L6" s="63"/>
      <c r="M6" s="99" t="s">
        <v>959</v>
      </c>
      <c r="N6" s="63"/>
      <c r="O6" s="63"/>
      <c r="P6" s="61" t="s">
        <v>22</v>
      </c>
      <c r="R6" s="61" t="s">
        <v>167</v>
      </c>
      <c r="V6" t="s">
        <v>650</v>
      </c>
      <c r="W6" s="2" t="s">
        <v>1538</v>
      </c>
    </row>
    <row r="7" spans="2:25" x14ac:dyDescent="0.3">
      <c r="B7" s="55" t="s">
        <v>68</v>
      </c>
      <c r="D7" s="58" t="s">
        <v>921</v>
      </c>
      <c r="F7" s="65" t="s">
        <v>705</v>
      </c>
      <c r="G7" s="63"/>
      <c r="H7" s="63"/>
      <c r="I7" s="340" t="s">
        <v>1582</v>
      </c>
      <c r="J7" s="63"/>
      <c r="K7" s="65" t="s">
        <v>9</v>
      </c>
      <c r="L7" s="63"/>
      <c r="M7" s="65" t="s">
        <v>960</v>
      </c>
      <c r="N7" s="63"/>
      <c r="O7" s="63"/>
      <c r="P7" s="61" t="s">
        <v>20</v>
      </c>
      <c r="R7" s="62" t="s">
        <v>256</v>
      </c>
      <c r="W7" t="s">
        <v>1535</v>
      </c>
    </row>
    <row r="8" spans="2:25" x14ac:dyDescent="0.3">
      <c r="B8" s="55" t="s">
        <v>69</v>
      </c>
      <c r="D8" s="58" t="s">
        <v>14</v>
      </c>
      <c r="F8" s="65" t="s">
        <v>706</v>
      </c>
      <c r="G8" s="63"/>
      <c r="H8" s="63"/>
      <c r="I8" s="337" t="s">
        <v>124</v>
      </c>
      <c r="J8" s="63"/>
      <c r="K8" s="320" t="s">
        <v>126</v>
      </c>
      <c r="L8" s="63"/>
      <c r="M8" s="66" t="s">
        <v>961</v>
      </c>
      <c r="N8" s="63"/>
      <c r="O8" s="63"/>
      <c r="P8" s="99" t="s">
        <v>220</v>
      </c>
      <c r="W8" t="s">
        <v>1536</v>
      </c>
    </row>
    <row r="9" spans="2:25" x14ac:dyDescent="0.3">
      <c r="B9" s="54" t="s">
        <v>1</v>
      </c>
      <c r="D9" s="57" t="s">
        <v>920</v>
      </c>
      <c r="F9" s="65" t="s">
        <v>707</v>
      </c>
      <c r="G9" s="63"/>
      <c r="H9" s="63"/>
      <c r="I9" s="337" t="s">
        <v>125</v>
      </c>
      <c r="J9" s="63"/>
      <c r="K9" s="63"/>
      <c r="L9" s="63"/>
      <c r="M9" s="301" t="s">
        <v>962</v>
      </c>
      <c r="N9" s="63"/>
      <c r="O9" s="63"/>
      <c r="P9" s="62" t="s">
        <v>24</v>
      </c>
      <c r="W9" t="s">
        <v>649</v>
      </c>
    </row>
    <row r="10" spans="2:25" x14ac:dyDescent="0.3">
      <c r="B10" s="55" t="s">
        <v>70</v>
      </c>
      <c r="D10" s="57" t="s">
        <v>1591</v>
      </c>
      <c r="F10" s="337" t="s">
        <v>1369</v>
      </c>
      <c r="G10" s="63"/>
      <c r="H10" s="63"/>
      <c r="J10" s="63"/>
      <c r="K10" s="63"/>
      <c r="L10" s="63"/>
      <c r="M10" s="301" t="s">
        <v>963</v>
      </c>
      <c r="N10" s="63"/>
      <c r="O10" s="63"/>
      <c r="P10" s="62" t="s">
        <v>21</v>
      </c>
      <c r="W10" t="s">
        <v>650</v>
      </c>
    </row>
    <row r="11" spans="2:25" x14ac:dyDescent="0.3">
      <c r="B11" s="55" t="s">
        <v>65</v>
      </c>
      <c r="D11" s="11"/>
      <c r="F11" s="337" t="s">
        <v>1480</v>
      </c>
      <c r="G11" s="63"/>
      <c r="H11" s="63"/>
      <c r="I11" s="63"/>
      <c r="J11" s="63"/>
      <c r="K11" s="63"/>
      <c r="L11" s="63"/>
      <c r="M11" s="301" t="s">
        <v>964</v>
      </c>
      <c r="N11" s="63"/>
      <c r="O11" s="63"/>
      <c r="P11" s="329" t="s">
        <v>1195</v>
      </c>
    </row>
    <row r="12" spans="2:25" x14ac:dyDescent="0.3">
      <c r="B12" s="55" t="s">
        <v>2</v>
      </c>
      <c r="D12" s="11"/>
      <c r="F12" s="66"/>
      <c r="G12" s="63"/>
      <c r="H12" s="63"/>
      <c r="I12" s="63"/>
      <c r="J12" s="63"/>
      <c r="K12" s="63"/>
      <c r="L12" s="63"/>
      <c r="M12" s="301" t="s">
        <v>965</v>
      </c>
      <c r="N12" s="63"/>
      <c r="O12" s="63"/>
    </row>
    <row r="13" spans="2:25" x14ac:dyDescent="0.3">
      <c r="B13" s="339" t="s">
        <v>1499</v>
      </c>
      <c r="D13" s="11"/>
      <c r="F13" s="63"/>
      <c r="G13" s="63"/>
      <c r="H13" s="63"/>
      <c r="I13" s="63"/>
      <c r="J13" s="63"/>
      <c r="K13" s="63"/>
      <c r="L13" s="63"/>
      <c r="M13" s="337" t="s">
        <v>26</v>
      </c>
      <c r="N13" s="63"/>
      <c r="O13" s="63"/>
    </row>
    <row r="14" spans="2:25" x14ac:dyDescent="0.3">
      <c r="B14" s="54"/>
      <c r="D14" s="11"/>
      <c r="F14" s="63"/>
      <c r="G14" s="63"/>
      <c r="H14" s="63"/>
      <c r="I14" s="63"/>
      <c r="J14" s="63"/>
      <c r="K14" s="63"/>
      <c r="L14" s="63"/>
      <c r="M14" s="338" t="s">
        <v>1509</v>
      </c>
      <c r="N14" s="63"/>
      <c r="O14" s="63"/>
    </row>
    <row r="15" spans="2:25" x14ac:dyDescent="0.3">
      <c r="B15" s="54"/>
      <c r="D15" s="11"/>
      <c r="F15" s="63"/>
      <c r="G15" s="63"/>
      <c r="H15" s="63"/>
      <c r="I15" s="63"/>
      <c r="J15" s="63"/>
      <c r="K15" s="63"/>
      <c r="L15" s="63"/>
      <c r="M15" s="66" t="s">
        <v>27</v>
      </c>
      <c r="N15" s="63"/>
      <c r="O15" s="63"/>
    </row>
    <row r="16" spans="2:25" x14ac:dyDescent="0.3">
      <c r="F16" s="63"/>
      <c r="G16" s="63"/>
      <c r="H16" s="63"/>
      <c r="I16" s="63"/>
      <c r="J16" s="63"/>
      <c r="K16" s="63"/>
      <c r="L16" s="63"/>
      <c r="M16" s="66" t="s">
        <v>28</v>
      </c>
      <c r="N16" s="63"/>
      <c r="O16" s="63"/>
    </row>
    <row r="17" spans="6:17" x14ac:dyDescent="0.3">
      <c r="F17" s="63"/>
      <c r="G17" s="63"/>
      <c r="H17" s="63"/>
      <c r="I17" s="63"/>
      <c r="J17" s="63"/>
      <c r="K17" s="63"/>
      <c r="L17" s="63"/>
      <c r="M17" s="66" t="s">
        <v>29</v>
      </c>
      <c r="N17" s="63"/>
      <c r="O17" s="63"/>
    </row>
    <row r="18" spans="6:17" x14ac:dyDescent="0.3">
      <c r="F18" s="63"/>
      <c r="G18" s="63"/>
      <c r="H18" s="63"/>
      <c r="I18" s="63"/>
      <c r="J18" s="63"/>
      <c r="K18" s="63"/>
      <c r="L18" s="63"/>
      <c r="M18" s="66" t="s">
        <v>15</v>
      </c>
      <c r="N18" s="63"/>
      <c r="O18" s="63"/>
    </row>
    <row r="19" spans="6:17" x14ac:dyDescent="0.3">
      <c r="F19" s="63"/>
      <c r="G19" s="63"/>
      <c r="H19" s="63"/>
      <c r="I19" s="63"/>
      <c r="J19" s="63"/>
      <c r="K19" s="63"/>
      <c r="L19" s="63"/>
      <c r="M19" s="65" t="s">
        <v>1166</v>
      </c>
      <c r="N19" s="63"/>
      <c r="O19" s="63"/>
    </row>
    <row r="20" spans="6:17" x14ac:dyDescent="0.3">
      <c r="F20" s="63"/>
      <c r="G20" s="63"/>
      <c r="H20" s="63"/>
      <c r="I20" s="63"/>
      <c r="J20" s="63"/>
      <c r="K20" s="63"/>
      <c r="L20" s="63"/>
      <c r="M20" s="65" t="s">
        <v>1187</v>
      </c>
      <c r="N20" s="63"/>
      <c r="O20" s="63"/>
    </row>
    <row r="21" spans="6:17" x14ac:dyDescent="0.3">
      <c r="M21" s="62"/>
    </row>
    <row r="22" spans="6:17" x14ac:dyDescent="0.3">
      <c r="F22" s="60" t="s">
        <v>608</v>
      </c>
    </row>
    <row r="24" spans="6:17" x14ac:dyDescent="0.3">
      <c r="Q24" s="61"/>
    </row>
    <row r="25" spans="6:17" x14ac:dyDescent="0.3">
      <c r="Q25" s="61"/>
    </row>
    <row r="26" spans="6:17" x14ac:dyDescent="0.3">
      <c r="F26" s="60" t="s">
        <v>712</v>
      </c>
      <c r="Q26" s="61"/>
    </row>
    <row r="27" spans="6:17" x14ac:dyDescent="0.3">
      <c r="Q27" s="61"/>
    </row>
    <row r="28" spans="6:17" x14ac:dyDescent="0.3">
      <c r="I28" s="60" t="s">
        <v>877</v>
      </c>
      <c r="Q28" s="61"/>
    </row>
    <row r="29" spans="6:17" x14ac:dyDescent="0.3">
      <c r="Q29" s="61"/>
    </row>
    <row r="31" spans="6:17" x14ac:dyDescent="0.3">
      <c r="Q31" s="61"/>
    </row>
    <row r="32" spans="6:17" x14ac:dyDescent="0.3">
      <c r="Q32" s="61"/>
    </row>
    <row r="33" spans="2:17" x14ac:dyDescent="0.3">
      <c r="B33" s="285" t="s">
        <v>939</v>
      </c>
      <c r="C33" s="285"/>
      <c r="D33" s="285" t="s">
        <v>947</v>
      </c>
      <c r="E33" s="285"/>
      <c r="F33" s="286" t="s">
        <v>946</v>
      </c>
      <c r="G33" s="286" t="s">
        <v>104</v>
      </c>
      <c r="H33" s="287"/>
      <c r="I33" s="287"/>
      <c r="J33" s="287"/>
      <c r="K33" s="288"/>
      <c r="Q33" s="61"/>
    </row>
    <row r="34" spans="2:17" x14ac:dyDescent="0.3">
      <c r="B34" s="80" t="s">
        <v>713</v>
      </c>
      <c r="C34" s="80"/>
      <c r="D34" s="80" t="s">
        <v>940</v>
      </c>
      <c r="E34" s="80"/>
      <c r="F34" s="80" t="s">
        <v>940</v>
      </c>
      <c r="G34" s="150"/>
      <c r="H34" s="152"/>
      <c r="I34" s="152"/>
      <c r="J34" s="152"/>
      <c r="K34" s="153"/>
    </row>
    <row r="35" spans="2:17" x14ac:dyDescent="0.3">
      <c r="B35" s="80" t="s">
        <v>395</v>
      </c>
      <c r="C35" s="80"/>
      <c r="D35" s="80" t="s">
        <v>940</v>
      </c>
      <c r="E35" s="80"/>
      <c r="F35" s="80" t="s">
        <v>940</v>
      </c>
      <c r="G35" s="150"/>
      <c r="H35" s="152"/>
      <c r="I35" s="152"/>
      <c r="J35" s="152"/>
      <c r="K35" s="153"/>
    </row>
    <row r="36" spans="2:17" x14ac:dyDescent="0.3">
      <c r="B36" s="80" t="s">
        <v>510</v>
      </c>
      <c r="C36" s="80"/>
      <c r="D36" s="80" t="s">
        <v>940</v>
      </c>
      <c r="E36" s="80"/>
      <c r="F36" s="80" t="s">
        <v>940</v>
      </c>
      <c r="G36" s="150"/>
      <c r="H36" s="152"/>
      <c r="I36" s="152"/>
      <c r="J36" s="152"/>
      <c r="K36" s="153"/>
    </row>
    <row r="37" spans="2:17" x14ac:dyDescent="0.3">
      <c r="B37" s="80" t="s">
        <v>931</v>
      </c>
      <c r="C37" s="80"/>
      <c r="D37" s="80" t="s">
        <v>940</v>
      </c>
      <c r="E37" s="80"/>
      <c r="F37" s="80" t="s">
        <v>940</v>
      </c>
      <c r="G37" s="150"/>
      <c r="H37" s="152"/>
      <c r="I37" s="152"/>
      <c r="J37" s="152"/>
      <c r="K37" s="153"/>
    </row>
    <row r="38" spans="2:17" x14ac:dyDescent="0.3">
      <c r="B38" s="80" t="s">
        <v>692</v>
      </c>
      <c r="C38" s="80"/>
      <c r="D38" s="80" t="s">
        <v>940</v>
      </c>
      <c r="E38" s="80"/>
      <c r="F38" s="80" t="s">
        <v>940</v>
      </c>
      <c r="G38" s="150"/>
      <c r="H38" s="152"/>
      <c r="I38" s="152"/>
      <c r="J38" s="152"/>
      <c r="K38" s="153"/>
    </row>
    <row r="39" spans="2:17" x14ac:dyDescent="0.3">
      <c r="B39" s="80" t="s">
        <v>693</v>
      </c>
      <c r="C39" s="80"/>
      <c r="D39" s="80" t="s">
        <v>940</v>
      </c>
      <c r="E39" s="80"/>
      <c r="F39" s="294" t="s">
        <v>941</v>
      </c>
      <c r="G39" s="150"/>
      <c r="H39" s="152"/>
      <c r="I39" s="152"/>
      <c r="J39" s="152"/>
      <c r="K39" s="153"/>
    </row>
    <row r="40" spans="2:17" x14ac:dyDescent="0.3">
      <c r="B40" s="80" t="s">
        <v>628</v>
      </c>
      <c r="C40" s="80"/>
      <c r="D40" s="80" t="s">
        <v>940</v>
      </c>
      <c r="E40" s="80"/>
      <c r="F40" s="80" t="s">
        <v>940</v>
      </c>
      <c r="G40" s="150"/>
      <c r="H40" s="152"/>
      <c r="I40" s="152"/>
      <c r="J40" s="152"/>
      <c r="K40" s="153"/>
    </row>
    <row r="41" spans="2:17" x14ac:dyDescent="0.3">
      <c r="B41" s="80" t="s">
        <v>932</v>
      </c>
      <c r="C41" s="80"/>
      <c r="D41" s="80" t="s">
        <v>940</v>
      </c>
      <c r="E41" s="80"/>
      <c r="F41" s="80" t="s">
        <v>940</v>
      </c>
      <c r="G41" s="150"/>
      <c r="H41" s="152"/>
      <c r="I41" s="152"/>
      <c r="J41" s="152"/>
      <c r="K41" s="153"/>
    </row>
    <row r="42" spans="2:17" x14ac:dyDescent="0.3">
      <c r="B42" s="80" t="s">
        <v>695</v>
      </c>
      <c r="C42" s="80"/>
      <c r="D42" s="80" t="s">
        <v>940</v>
      </c>
      <c r="E42" s="80"/>
      <c r="F42" s="80" t="s">
        <v>940</v>
      </c>
      <c r="G42" s="80" t="s">
        <v>949</v>
      </c>
      <c r="H42" s="152"/>
      <c r="I42" s="152"/>
      <c r="J42" s="152"/>
      <c r="K42" s="153"/>
    </row>
    <row r="43" spans="2:17" x14ac:dyDescent="0.3">
      <c r="B43" s="80" t="s">
        <v>933</v>
      </c>
      <c r="C43" s="80"/>
      <c r="D43" s="80" t="s">
        <v>940</v>
      </c>
      <c r="E43" s="80"/>
      <c r="F43" s="294" t="s">
        <v>941</v>
      </c>
      <c r="G43" s="80" t="s">
        <v>945</v>
      </c>
      <c r="H43" s="152"/>
      <c r="I43" s="152"/>
      <c r="J43" s="152"/>
      <c r="K43" s="153"/>
    </row>
    <row r="44" spans="2:17" x14ac:dyDescent="0.3">
      <c r="B44" s="80" t="s">
        <v>934</v>
      </c>
      <c r="C44" s="80"/>
      <c r="D44" s="80" t="s">
        <v>940</v>
      </c>
      <c r="E44" s="80"/>
      <c r="F44" s="294" t="s">
        <v>941</v>
      </c>
      <c r="G44" s="80" t="s">
        <v>948</v>
      </c>
      <c r="H44" s="152"/>
      <c r="I44" s="152"/>
      <c r="J44" s="152"/>
      <c r="K44" s="153"/>
    </row>
    <row r="45" spans="2:17" x14ac:dyDescent="0.3">
      <c r="B45" s="80" t="s">
        <v>935</v>
      </c>
      <c r="C45" s="80"/>
      <c r="D45" s="80" t="s">
        <v>940</v>
      </c>
      <c r="E45" s="80"/>
      <c r="F45" s="80" t="s">
        <v>940</v>
      </c>
      <c r="G45" s="150"/>
      <c r="H45" s="152"/>
      <c r="I45" s="152"/>
      <c r="J45" s="152"/>
      <c r="K45" s="153"/>
    </row>
    <row r="46" spans="2:17" x14ac:dyDescent="0.3">
      <c r="B46" s="80" t="s">
        <v>936</v>
      </c>
      <c r="C46" s="80"/>
      <c r="D46" s="80" t="s">
        <v>940</v>
      </c>
      <c r="E46" s="80"/>
      <c r="F46" s="80" t="s">
        <v>940</v>
      </c>
      <c r="G46" s="150"/>
      <c r="H46" s="152"/>
      <c r="I46" s="152"/>
      <c r="J46" s="152"/>
      <c r="K46" s="153"/>
    </row>
    <row r="47" spans="2:17" x14ac:dyDescent="0.3">
      <c r="B47" s="80" t="s">
        <v>937</v>
      </c>
      <c r="C47" s="80"/>
      <c r="D47" s="80" t="s">
        <v>940</v>
      </c>
      <c r="E47" s="80"/>
      <c r="F47" s="80" t="s">
        <v>940</v>
      </c>
      <c r="G47" s="150" t="s">
        <v>950</v>
      </c>
      <c r="H47" s="152"/>
      <c r="I47" s="152"/>
      <c r="J47" s="152"/>
      <c r="K47" s="153"/>
    </row>
    <row r="48" spans="2:17" x14ac:dyDescent="0.3">
      <c r="B48" s="80" t="s">
        <v>938</v>
      </c>
      <c r="C48" s="80"/>
      <c r="D48" s="80" t="s">
        <v>940</v>
      </c>
      <c r="E48" s="80"/>
      <c r="F48" s="80" t="s">
        <v>940</v>
      </c>
      <c r="G48" s="152"/>
      <c r="H48" s="152"/>
      <c r="I48" s="152"/>
      <c r="J48" s="152"/>
      <c r="K48" s="153"/>
    </row>
    <row r="49" spans="2:11" x14ac:dyDescent="0.3">
      <c r="B49" s="80" t="s">
        <v>942</v>
      </c>
      <c r="C49" s="80"/>
      <c r="D49" s="294" t="s">
        <v>943</v>
      </c>
      <c r="E49" s="80"/>
      <c r="F49" s="80" t="s">
        <v>940</v>
      </c>
      <c r="G49" s="152"/>
      <c r="H49" s="152"/>
      <c r="I49" s="152"/>
      <c r="J49" s="152"/>
      <c r="K49" s="153"/>
    </row>
    <row r="50" spans="2:11" x14ac:dyDescent="0.3">
      <c r="B50" s="80" t="s">
        <v>944</v>
      </c>
      <c r="C50" s="80"/>
      <c r="D50" s="294" t="s">
        <v>943</v>
      </c>
      <c r="E50" s="80"/>
      <c r="F50" s="80" t="s">
        <v>940</v>
      </c>
      <c r="G50" s="152"/>
      <c r="H50" s="152"/>
      <c r="I50" s="152"/>
      <c r="J50" s="152"/>
      <c r="K50" s="153"/>
    </row>
  </sheetData>
  <hyperlinks>
    <hyperlink ref="B7" location="'AF Purchase'!A1" display="- Air Freight Purchase"/>
    <hyperlink ref="B4" location="'SF Purchase LCL'!A1" display="- Sea Freight ( LCL )"/>
    <hyperlink ref="B5" location="'SF PRICE ADD-FCL'!A1" display="- Price Add-on (FCL-Sea)"/>
    <hyperlink ref="B10" location="'SF FCL List'!A1" display="- Sea Freight ( FCL)"/>
    <hyperlink ref="B3" location="'SF Purchase FCL'!A1" display="- Sea Freight ( FCL )"/>
    <hyperlink ref="B6" location="'SF Price ADD-on LCL'!A1" display="- Price Add-on (LCL-Sea)"/>
    <hyperlink ref="B8" location="'AF Price Add-on'!A1" display="- Price Add-on (Air )"/>
    <hyperlink ref="B11" location="'SF LCL List'!A1" display="- Sea Freight ( LCL )"/>
    <hyperlink ref="B12" location="'AF Price List'!A1" display="- Air Freight"/>
    <hyperlink ref="D3" location="'New Inquiry'!A1" display="- New Inquiry"/>
    <hyperlink ref="D4" location="'Inquiry List'!A1" display="- Inquiry List"/>
    <hyperlink ref="D5" location="Quotation!A1" display="- Quotation"/>
    <hyperlink ref="P3" location="'sea-airport list'!A1" display="- Sea-Air Port"/>
    <hyperlink ref="P4" location="'cost Head'!A1" display="- Cost Head"/>
    <hyperlink ref="P5" location="Currency!A1" display="- Currency"/>
    <hyperlink ref="P7" location="Vessel!A1" display="- Vessel "/>
    <hyperlink ref="P6" location="Carrier!A1" display="- Carrier"/>
    <hyperlink ref="R5" location="Vendor!A1" display="- Vendor"/>
    <hyperlink ref="R3" location="Customer!A1" display="- Customer"/>
    <hyperlink ref="R4" location="Agent!A1" display="- Agent"/>
    <hyperlink ref="R6" location="Employee!A1" display=" -Employee"/>
    <hyperlink ref="P8" location="Industry_Sector_Catagory!A1" display="- Commodity Category"/>
    <hyperlink ref="V3" location="'Inquiry List for Agent'!A1" display="Inquiry"/>
    <hyperlink ref="D6" location="'Quotation List'!A1" display="- Quotation List"/>
    <hyperlink ref="F5" location="'Shipment Booking List'!A1" display="- Shipment Booking List"/>
    <hyperlink ref="W4" location="'Quotation List'!A1" display="Quotation List"/>
    <hyperlink ref="F6" location="'Vessel Booking approval'!A1" display="- Shipment Approval"/>
    <hyperlink ref="I3" location="'Cargo Receipt'!A1" display="- Cargo Receipt"/>
    <hyperlink ref="F3" location="'Shipment Booking-Sea'!A1" display="- Shipment Booking"/>
    <hyperlink ref="F4" location="'Shipment Booking-Air'!A1" display="- Shipment Booking-Air"/>
    <hyperlink ref="F7" location="'Flight Booking approval'!A1" display="- Shipment Approval-Air"/>
    <hyperlink ref="F8" location="'Shipping Order-Sea'!A1" display="- Shipping Order"/>
    <hyperlink ref="F9" location="'Shipping Order-Air'!A1" display="- Shipping Order-Air"/>
    <hyperlink ref="I5" location="'CLP-sea'!A1" display="- Container Load Plan (CLP)"/>
    <hyperlink ref="I6" location="'CLP-sea list'!A1" display="- CLP List"/>
    <hyperlink ref="I4" location="Stock!A1" display="- Cargo Stock"/>
    <hyperlink ref="K3" location="'Shipment Advise.-Sea'!A1" display="- shipment Advise"/>
    <hyperlink ref="K5" location="'BL Draft-outbound'!A1" display="- BL Draft"/>
    <hyperlink ref="K4" location="'Shipment Advise-Air'!A1" display="- shipment Advise-Air"/>
    <hyperlink ref="D9" location="'Local Sales'!A1" display="- Local Sales "/>
    <hyperlink ref="K7" location="'BL Draft-outbound'!A1" display="- BL Print"/>
    <hyperlink ref="M6" location="'Receiveable-Payable list'!A1" display="- Receivable-Payable list"/>
    <hyperlink ref="M7" location="'Chart of accounts'!A1" display="-Chat of accounts"/>
    <hyperlink ref="M9" location="Journal!A1" display="      '- Journal"/>
    <hyperlink ref="M10" location="'Expense-regular'!A1" display="      '- Expense"/>
    <hyperlink ref="M4" location="'Debit Invoice'!A1" display="- Debit Invoice"/>
    <hyperlink ref="M3" location="'Awaiting Debit Note'!A1" display="- Awaiting Freight Inv"/>
    <hyperlink ref="M19" location="'bank setup'!A1" display="; - Bank Set up"/>
    <hyperlink ref="M20" location="'Account setup'!A1" display="- Account Set up"/>
    <hyperlink ref="M11" location="'Income-Other'!A1" display="      '- Income"/>
    <hyperlink ref="M5" location="'Credit Invoice'!A1" display="- Credit Invoice"/>
    <hyperlink ref="M12" location="'Internal Transfer'!A1" display="       '-Internal Transfer"/>
    <hyperlink ref="P11" location="Notification!A1" display="Notification"/>
    <hyperlink ref="T2" location="Report!A1" display="Report"/>
    <hyperlink ref="F10" location="'Depart-Arrival Landing page'!A1" display="- Depart-Arrive Confirmation"/>
    <hyperlink ref="I8" location="'IGM Update'!A1" display="- IGM submission"/>
    <hyperlink ref="I9" location="'DO issue'!A1" display="- DO Issue"/>
    <hyperlink ref="M13" location="'Income statement'!A1" display="- Income statement"/>
    <hyperlink ref="F11" location="'Pre Alert-Sea'!A1" display="Pre-Alert"/>
    <hyperlink ref="M14" location="'Shipment Profitabilit'!A1" display="Shipment Profitability"/>
    <hyperlink ref="B13" location="Tarrif!A1" display="- Tarrif"/>
    <hyperlink ref="W5" location="'Shipment Booking-Sea'!A1" display="Shipment Booking"/>
    <hyperlink ref="W6" location="'Shipment Booking-Air'!A1" display="Shipment Booking-Air"/>
    <hyperlink ref="K8" location="'Copy doc upload'!A1" display="- Copy Doc upload"/>
    <hyperlink ref="I7" location="VGM!A1" display="- Upload VGM"/>
    <hyperlink ref="D10" location="'Business Matrix'!A1" display="- Business Matrix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7"/>
  <sheetViews>
    <sheetView showGridLines="0" workbookViewId="0"/>
  </sheetViews>
  <sheetFormatPr defaultRowHeight="14.4" x14ac:dyDescent="0.3"/>
  <cols>
    <col min="2" max="2" width="16.21875" customWidth="1"/>
    <col min="3" max="3" width="15.21875" customWidth="1"/>
    <col min="4" max="4" width="16.33203125" customWidth="1"/>
    <col min="5" max="5" width="16.6640625" customWidth="1"/>
    <col min="10" max="10" width="36.21875" customWidth="1"/>
    <col min="11" max="11" width="13.21875" customWidth="1"/>
    <col min="12" max="12" width="18.33203125" customWidth="1"/>
    <col min="13" max="13" width="23.6640625" customWidth="1"/>
    <col min="14" max="14" width="2.88671875" customWidth="1"/>
  </cols>
  <sheetData>
    <row r="1" spans="1:13" x14ac:dyDescent="0.3">
      <c r="A1" s="2" t="s">
        <v>33</v>
      </c>
    </row>
    <row r="2" spans="1:13" x14ac:dyDescent="0.3">
      <c r="B2" s="12"/>
      <c r="C2" s="12"/>
      <c r="D2" s="12"/>
      <c r="E2" s="12"/>
      <c r="F2" s="12"/>
      <c r="G2" s="13" t="s">
        <v>1531</v>
      </c>
      <c r="H2" s="12"/>
      <c r="I2" s="12"/>
      <c r="J2" s="12"/>
      <c r="K2" s="12"/>
      <c r="L2" s="12"/>
      <c r="M2" s="12"/>
    </row>
    <row r="4" spans="1:13" x14ac:dyDescent="0.3">
      <c r="B4" s="3" t="s">
        <v>128</v>
      </c>
      <c r="C4" s="3" t="s">
        <v>34</v>
      </c>
      <c r="D4" s="3" t="s">
        <v>1532</v>
      </c>
      <c r="E4" s="3" t="s">
        <v>1533</v>
      </c>
    </row>
    <row r="5" spans="1:13" x14ac:dyDescent="0.3">
      <c r="B5" s="3"/>
      <c r="C5" s="3"/>
      <c r="D5" s="3"/>
      <c r="E5" s="3"/>
      <c r="H5" t="s">
        <v>1534</v>
      </c>
    </row>
    <row r="8" spans="1:13" x14ac:dyDescent="0.3">
      <c r="B8" s="286" t="s">
        <v>454</v>
      </c>
      <c r="C8" s="288"/>
      <c r="D8" s="285" t="s">
        <v>462</v>
      </c>
      <c r="E8" s="285" t="s">
        <v>140</v>
      </c>
      <c r="F8" s="285" t="s">
        <v>481</v>
      </c>
      <c r="G8" s="285" t="s">
        <v>146</v>
      </c>
    </row>
    <row r="9" spans="1:13" x14ac:dyDescent="0.3">
      <c r="B9" s="20"/>
      <c r="C9" s="34"/>
      <c r="E9" s="3"/>
      <c r="F9" s="3"/>
      <c r="G9" s="3"/>
      <c r="H9" s="210" t="s">
        <v>572</v>
      </c>
    </row>
    <row r="12" spans="1:13" x14ac:dyDescent="0.3">
      <c r="B12" s="286" t="s">
        <v>454</v>
      </c>
      <c r="C12" s="288"/>
      <c r="D12" s="285" t="s">
        <v>462</v>
      </c>
      <c r="E12" s="285" t="s">
        <v>140</v>
      </c>
      <c r="F12" s="285" t="s">
        <v>481</v>
      </c>
      <c r="G12" s="285" t="s">
        <v>146</v>
      </c>
    </row>
    <row r="13" spans="1:13" x14ac:dyDescent="0.3">
      <c r="B13" s="3"/>
      <c r="C13" s="3"/>
      <c r="D13" s="3"/>
      <c r="E13" s="3"/>
      <c r="F13" s="3"/>
      <c r="G13" s="3"/>
    </row>
    <row r="14" spans="1:13" x14ac:dyDescent="0.3">
      <c r="B14" s="3"/>
      <c r="C14" s="3"/>
      <c r="D14" s="3"/>
      <c r="E14" s="3"/>
      <c r="F14" s="3"/>
      <c r="G14" s="3"/>
    </row>
    <row r="15" spans="1:13" x14ac:dyDescent="0.3">
      <c r="B15" s="3"/>
      <c r="C15" s="3"/>
      <c r="D15" s="3"/>
      <c r="E15" s="3"/>
      <c r="F15" s="3"/>
      <c r="G15" s="3"/>
    </row>
    <row r="17" spans="7:7" x14ac:dyDescent="0.3">
      <c r="G17" s="12" t="s">
        <v>106</v>
      </c>
    </row>
  </sheetData>
  <hyperlinks>
    <hyperlink ref="A1" location="Menu!A1" display="menu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93575" r:id="rId4" name="Drop Down 7">
              <controlPr defaultSize="0" autoLine="0" autoPict="0">
                <anchor moveWithCells="1">
                  <from>
                    <xdr:col>1</xdr:col>
                    <xdr:colOff>15240</xdr:colOff>
                    <xdr:row>4</xdr:row>
                    <xdr:rowOff>7620</xdr:rowOff>
                  </from>
                  <to>
                    <xdr:col>1</xdr:col>
                    <xdr:colOff>1104900</xdr:colOff>
                    <xdr:row>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576" r:id="rId5" name="Drop Down 8">
              <controlPr defaultSize="0" autoLine="0" autoPict="0">
                <anchor moveWithCells="1">
                  <from>
                    <xdr:col>2</xdr:col>
                    <xdr:colOff>7620</xdr:colOff>
                    <xdr:row>4</xdr:row>
                    <xdr:rowOff>0</xdr:rowOff>
                  </from>
                  <to>
                    <xdr:col>2</xdr:col>
                    <xdr:colOff>1036320</xdr:colOff>
                    <xdr:row>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577" r:id="rId6" name="Drop Down 9">
              <controlPr defaultSize="0" autoLine="0" autoPict="0">
                <anchor moveWithCells="1">
                  <from>
                    <xdr:col>3</xdr:col>
                    <xdr:colOff>0</xdr:colOff>
                    <xdr:row>3</xdr:row>
                    <xdr:rowOff>167640</xdr:rowOff>
                  </from>
                  <to>
                    <xdr:col>4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578" r:id="rId7" name="Drop Down 10">
              <controlPr defaultSize="0" autoLine="0" autoPict="0">
                <anchor moveWithCells="1">
                  <from>
                    <xdr:col>4</xdr:col>
                    <xdr:colOff>30480</xdr:colOff>
                    <xdr:row>4</xdr:row>
                    <xdr:rowOff>0</xdr:rowOff>
                  </from>
                  <to>
                    <xdr:col>4</xdr:col>
                    <xdr:colOff>1089660</xdr:colOff>
                    <xdr:row>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581" r:id="rId8" name="Drop Down 13">
              <controlPr defaultSize="0" autoLine="0" autoPict="0">
                <anchor moveWithCells="1">
                  <from>
                    <xdr:col>1</xdr:col>
                    <xdr:colOff>15240</xdr:colOff>
                    <xdr:row>8</xdr:row>
                    <xdr:rowOff>7620</xdr:rowOff>
                  </from>
                  <to>
                    <xdr:col>2</xdr:col>
                    <xdr:colOff>1021080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579" r:id="rId9" name="Drop Down 11">
              <controlPr defaultSize="0" autoLine="0" autoPict="0">
                <anchor moveWithCells="1">
                  <from>
                    <xdr:col>6</xdr:col>
                    <xdr:colOff>30480</xdr:colOff>
                    <xdr:row>8</xdr:row>
                    <xdr:rowOff>0</xdr:rowOff>
                  </from>
                  <to>
                    <xdr:col>6</xdr:col>
                    <xdr:colOff>586740</xdr:colOff>
                    <xdr:row>8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580" r:id="rId10" name="Drop Down 12">
              <controlPr defaultSize="0" autoLine="0" autoPict="0">
                <anchor moveWithCells="1">
                  <from>
                    <xdr:col>4</xdr:col>
                    <xdr:colOff>30480</xdr:colOff>
                    <xdr:row>7</xdr:row>
                    <xdr:rowOff>175260</xdr:rowOff>
                  </from>
                  <to>
                    <xdr:col>4</xdr:col>
                    <xdr:colOff>1036320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582" r:id="rId11" name="Drop Down 14">
              <controlPr defaultSize="0" autoLine="0" autoPict="0">
                <anchor moveWithCells="1">
                  <from>
                    <xdr:col>3</xdr:col>
                    <xdr:colOff>60960</xdr:colOff>
                    <xdr:row>8</xdr:row>
                    <xdr:rowOff>15240</xdr:rowOff>
                  </from>
                  <to>
                    <xdr:col>3</xdr:col>
                    <xdr:colOff>1066800</xdr:colOff>
                    <xdr:row>9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4"/>
  <sheetViews>
    <sheetView showGridLines="0" workbookViewId="0"/>
  </sheetViews>
  <sheetFormatPr defaultRowHeight="14.4" x14ac:dyDescent="0.3"/>
  <sheetData>
    <row r="1" spans="1:16" x14ac:dyDescent="0.3">
      <c r="A1" s="2" t="s">
        <v>119</v>
      </c>
    </row>
    <row r="5" spans="1:16" x14ac:dyDescent="0.3">
      <c r="D5" t="s">
        <v>1231</v>
      </c>
    </row>
    <row r="6" spans="1:16" x14ac:dyDescent="0.3">
      <c r="D6" t="s">
        <v>1232</v>
      </c>
    </row>
    <row r="7" spans="1:16" x14ac:dyDescent="0.3">
      <c r="D7" t="s">
        <v>1233</v>
      </c>
      <c r="H7" t="s">
        <v>1242</v>
      </c>
      <c r="L7" t="s">
        <v>1253</v>
      </c>
      <c r="P7" t="s">
        <v>1261</v>
      </c>
    </row>
    <row r="8" spans="1:16" x14ac:dyDescent="0.3">
      <c r="D8" t="s">
        <v>1300</v>
      </c>
      <c r="H8" t="s">
        <v>1243</v>
      </c>
      <c r="L8" s="2" t="s">
        <v>1299</v>
      </c>
      <c r="M8" s="2"/>
      <c r="P8" t="s">
        <v>1262</v>
      </c>
    </row>
    <row r="9" spans="1:16" x14ac:dyDescent="0.3">
      <c r="D9" t="s">
        <v>1234</v>
      </c>
      <c r="H9" t="s">
        <v>1244</v>
      </c>
      <c r="L9" t="s">
        <v>1254</v>
      </c>
      <c r="P9" t="s">
        <v>1263</v>
      </c>
    </row>
    <row r="10" spans="1:16" x14ac:dyDescent="0.3">
      <c r="D10" t="s">
        <v>1235</v>
      </c>
      <c r="H10" t="s">
        <v>1245</v>
      </c>
      <c r="L10" t="s">
        <v>1255</v>
      </c>
      <c r="P10" t="s">
        <v>1264</v>
      </c>
    </row>
    <row r="11" spans="1:16" x14ac:dyDescent="0.3">
      <c r="D11" t="s">
        <v>1236</v>
      </c>
      <c r="H11" t="s">
        <v>1246</v>
      </c>
      <c r="L11" t="s">
        <v>1256</v>
      </c>
      <c r="P11" t="s">
        <v>1265</v>
      </c>
    </row>
    <row r="12" spans="1:16" x14ac:dyDescent="0.3">
      <c r="D12" t="s">
        <v>1237</v>
      </c>
      <c r="H12" t="s">
        <v>1247</v>
      </c>
      <c r="L12" s="145" t="s">
        <v>1575</v>
      </c>
      <c r="P12" t="s">
        <v>1266</v>
      </c>
    </row>
    <row r="13" spans="1:16" x14ac:dyDescent="0.3">
      <c r="D13" t="s">
        <v>1238</v>
      </c>
      <c r="H13" t="s">
        <v>1248</v>
      </c>
      <c r="L13" t="s">
        <v>1257</v>
      </c>
      <c r="P13" t="s">
        <v>1267</v>
      </c>
    </row>
    <row r="14" spans="1:16" x14ac:dyDescent="0.3">
      <c r="D14" t="s">
        <v>1239</v>
      </c>
      <c r="H14" t="s">
        <v>1249</v>
      </c>
      <c r="L14" t="s">
        <v>1258</v>
      </c>
      <c r="P14" t="s">
        <v>1268</v>
      </c>
    </row>
    <row r="15" spans="1:16" x14ac:dyDescent="0.3">
      <c r="D15" t="s">
        <v>1240</v>
      </c>
      <c r="H15" t="s">
        <v>1250</v>
      </c>
      <c r="L15" t="s">
        <v>1259</v>
      </c>
    </row>
    <row r="16" spans="1:16" x14ac:dyDescent="0.3">
      <c r="D16" t="s">
        <v>1241</v>
      </c>
      <c r="H16" t="s">
        <v>1251</v>
      </c>
      <c r="L16" t="s">
        <v>1260</v>
      </c>
    </row>
    <row r="17" spans="4:19" x14ac:dyDescent="0.3">
      <c r="D17" t="s">
        <v>1232</v>
      </c>
      <c r="H17" t="s">
        <v>1252</v>
      </c>
      <c r="L17" s="145" t="s">
        <v>1574</v>
      </c>
    </row>
    <row r="19" spans="4:19" x14ac:dyDescent="0.3">
      <c r="D19" t="s">
        <v>1269</v>
      </c>
      <c r="H19" t="s">
        <v>1276</v>
      </c>
      <c r="L19" t="s">
        <v>1282</v>
      </c>
      <c r="P19" t="s">
        <v>1291</v>
      </c>
    </row>
    <row r="20" spans="4:19" x14ac:dyDescent="0.3">
      <c r="D20" t="s">
        <v>1270</v>
      </c>
      <c r="H20" t="s">
        <v>1277</v>
      </c>
      <c r="L20" t="s">
        <v>1283</v>
      </c>
      <c r="P20" t="s">
        <v>1292</v>
      </c>
    </row>
    <row r="21" spans="4:19" x14ac:dyDescent="0.3">
      <c r="D21" t="s">
        <v>1271</v>
      </c>
      <c r="H21" t="s">
        <v>1278</v>
      </c>
      <c r="L21" t="s">
        <v>1284</v>
      </c>
      <c r="P21" t="s">
        <v>1293</v>
      </c>
    </row>
    <row r="22" spans="4:19" x14ac:dyDescent="0.3">
      <c r="D22" t="s">
        <v>1272</v>
      </c>
      <c r="H22" t="s">
        <v>1279</v>
      </c>
      <c r="L22" t="s">
        <v>1285</v>
      </c>
      <c r="P22" t="s">
        <v>1294</v>
      </c>
    </row>
    <row r="23" spans="4:19" x14ac:dyDescent="0.3">
      <c r="D23" t="s">
        <v>1273</v>
      </c>
      <c r="H23" t="s">
        <v>1280</v>
      </c>
      <c r="L23" t="s">
        <v>1286</v>
      </c>
      <c r="P23" t="s">
        <v>1295</v>
      </c>
    </row>
    <row r="24" spans="4:19" x14ac:dyDescent="0.3">
      <c r="D24" t="s">
        <v>1274</v>
      </c>
      <c r="H24" t="s">
        <v>1281</v>
      </c>
      <c r="L24" t="s">
        <v>1287</v>
      </c>
      <c r="P24" t="s">
        <v>1296</v>
      </c>
    </row>
    <row r="25" spans="4:19" x14ac:dyDescent="0.3">
      <c r="D25" t="s">
        <v>1275</v>
      </c>
      <c r="L25" t="s">
        <v>1288</v>
      </c>
      <c r="P25" t="s">
        <v>1297</v>
      </c>
    </row>
    <row r="26" spans="4:19" x14ac:dyDescent="0.3">
      <c r="L26" t="s">
        <v>1289</v>
      </c>
      <c r="P26" t="s">
        <v>1298</v>
      </c>
    </row>
    <row r="27" spans="4:19" x14ac:dyDescent="0.3">
      <c r="L27" t="s">
        <v>1290</v>
      </c>
    </row>
    <row r="28" spans="4:19" ht="18" x14ac:dyDescent="0.3">
      <c r="P28" s="304" t="s">
        <v>1301</v>
      </c>
    </row>
    <row r="29" spans="4:19" x14ac:dyDescent="0.3">
      <c r="D29" t="s">
        <v>1232</v>
      </c>
    </row>
    <row r="30" spans="4:19" x14ac:dyDescent="0.3">
      <c r="P30" t="s">
        <v>1302</v>
      </c>
    </row>
    <row r="32" spans="4:19" ht="18" x14ac:dyDescent="0.3">
      <c r="G32" s="304" t="s">
        <v>1326</v>
      </c>
      <c r="P32" s="211" t="s">
        <v>1303</v>
      </c>
      <c r="S32" t="s">
        <v>1353</v>
      </c>
    </row>
    <row r="33" spans="4:19" x14ac:dyDescent="0.3">
      <c r="G33" s="305"/>
      <c r="P33" s="305"/>
    </row>
    <row r="34" spans="4:19" x14ac:dyDescent="0.3">
      <c r="G34" s="305" t="s">
        <v>1327</v>
      </c>
      <c r="P34" s="305" t="s">
        <v>1304</v>
      </c>
      <c r="S34" t="s">
        <v>713</v>
      </c>
    </row>
    <row r="35" spans="4:19" x14ac:dyDescent="0.3">
      <c r="G35" s="305" t="s">
        <v>1328</v>
      </c>
      <c r="P35" s="305" t="s">
        <v>1305</v>
      </c>
      <c r="S35" t="s">
        <v>395</v>
      </c>
    </row>
    <row r="36" spans="4:19" x14ac:dyDescent="0.3">
      <c r="G36" s="305" t="s">
        <v>1329</v>
      </c>
      <c r="P36" s="305" t="s">
        <v>1306</v>
      </c>
      <c r="S36" t="s">
        <v>510</v>
      </c>
    </row>
    <row r="37" spans="4:19" x14ac:dyDescent="0.3">
      <c r="G37" s="305" t="s">
        <v>1330</v>
      </c>
      <c r="P37" s="305" t="s">
        <v>1307</v>
      </c>
    </row>
    <row r="38" spans="4:19" x14ac:dyDescent="0.3">
      <c r="G38" s="305" t="s">
        <v>1331</v>
      </c>
      <c r="P38" s="305" t="s">
        <v>1308</v>
      </c>
    </row>
    <row r="39" spans="4:19" x14ac:dyDescent="0.3">
      <c r="G39" s="305" t="s">
        <v>1332</v>
      </c>
      <c r="P39" s="305" t="s">
        <v>1309</v>
      </c>
    </row>
    <row r="40" spans="4:19" x14ac:dyDescent="0.3">
      <c r="D40" t="s">
        <v>1232</v>
      </c>
      <c r="G40" s="305" t="s">
        <v>1333</v>
      </c>
      <c r="P40" s="305" t="s">
        <v>1310</v>
      </c>
    </row>
    <row r="41" spans="4:19" x14ac:dyDescent="0.3">
      <c r="G41" s="305" t="s">
        <v>1334</v>
      </c>
      <c r="P41" s="305" t="s">
        <v>1311</v>
      </c>
    </row>
    <row r="42" spans="4:19" x14ac:dyDescent="0.3">
      <c r="G42" s="305" t="s">
        <v>1335</v>
      </c>
      <c r="P42" s="305" t="s">
        <v>1312</v>
      </c>
    </row>
    <row r="43" spans="4:19" x14ac:dyDescent="0.3">
      <c r="G43" s="305" t="s">
        <v>1336</v>
      </c>
      <c r="P43" s="305" t="s">
        <v>1313</v>
      </c>
    </row>
    <row r="44" spans="4:19" x14ac:dyDescent="0.3">
      <c r="G44" s="305" t="s">
        <v>1337</v>
      </c>
      <c r="P44" s="305" t="s">
        <v>1314</v>
      </c>
    </row>
    <row r="45" spans="4:19" x14ac:dyDescent="0.3">
      <c r="G45" s="305" t="s">
        <v>1338</v>
      </c>
      <c r="P45" s="305" t="s">
        <v>1315</v>
      </c>
    </row>
    <row r="46" spans="4:19" x14ac:dyDescent="0.3">
      <c r="G46" s="305" t="s">
        <v>1339</v>
      </c>
      <c r="P46" s="305" t="s">
        <v>1316</v>
      </c>
    </row>
    <row r="47" spans="4:19" x14ac:dyDescent="0.3">
      <c r="G47" s="305" t="s">
        <v>1340</v>
      </c>
      <c r="P47" s="305" t="s">
        <v>1317</v>
      </c>
    </row>
    <row r="48" spans="4:19" x14ac:dyDescent="0.3">
      <c r="G48" s="305" t="s">
        <v>1341</v>
      </c>
      <c r="P48" s="305" t="s">
        <v>1318</v>
      </c>
    </row>
    <row r="49" spans="4:16" x14ac:dyDescent="0.3">
      <c r="D49" t="s">
        <v>1232</v>
      </c>
      <c r="G49" s="305" t="s">
        <v>1342</v>
      </c>
      <c r="P49" s="305" t="s">
        <v>1319</v>
      </c>
    </row>
    <row r="50" spans="4:16" x14ac:dyDescent="0.3">
      <c r="P50" s="305" t="s">
        <v>1320</v>
      </c>
    </row>
    <row r="51" spans="4:16" ht="18" x14ac:dyDescent="0.3">
      <c r="G51" s="304" t="s">
        <v>1343</v>
      </c>
    </row>
    <row r="52" spans="4:16" ht="18" x14ac:dyDescent="0.3">
      <c r="P52" s="304" t="s">
        <v>1321</v>
      </c>
    </row>
    <row r="53" spans="4:16" x14ac:dyDescent="0.3">
      <c r="G53" s="211" t="s">
        <v>1344</v>
      </c>
    </row>
    <row r="54" spans="4:16" x14ac:dyDescent="0.3">
      <c r="P54" s="211" t="s">
        <v>1322</v>
      </c>
    </row>
    <row r="55" spans="4:16" x14ac:dyDescent="0.3">
      <c r="G55" t="s">
        <v>1345</v>
      </c>
    </row>
    <row r="56" spans="4:16" x14ac:dyDescent="0.3">
      <c r="G56" s="305"/>
      <c r="P56" t="s">
        <v>1323</v>
      </c>
    </row>
    <row r="57" spans="4:16" x14ac:dyDescent="0.3">
      <c r="D57" t="s">
        <v>1232</v>
      </c>
      <c r="G57" s="305" t="s">
        <v>1346</v>
      </c>
    </row>
    <row r="58" spans="4:16" x14ac:dyDescent="0.3">
      <c r="G58" s="305" t="s">
        <v>1347</v>
      </c>
      <c r="P58" t="s">
        <v>1324</v>
      </c>
    </row>
    <row r="59" spans="4:16" x14ac:dyDescent="0.3">
      <c r="G59" s="305" t="s">
        <v>1348</v>
      </c>
    </row>
    <row r="60" spans="4:16" x14ac:dyDescent="0.3">
      <c r="P60" s="211" t="s">
        <v>1325</v>
      </c>
    </row>
    <row r="61" spans="4:16" x14ac:dyDescent="0.3">
      <c r="G61" t="s">
        <v>1349</v>
      </c>
    </row>
    <row r="63" spans="4:16" x14ac:dyDescent="0.3">
      <c r="G63" s="211" t="s">
        <v>1350</v>
      </c>
    </row>
    <row r="64" spans="4:16" x14ac:dyDescent="0.3">
      <c r="D64" t="s">
        <v>1232</v>
      </c>
    </row>
    <row r="65" spans="4:7" x14ac:dyDescent="0.3">
      <c r="G65" t="s">
        <v>1351</v>
      </c>
    </row>
    <row r="67" spans="4:7" x14ac:dyDescent="0.3">
      <c r="G67" t="s">
        <v>1352</v>
      </c>
    </row>
    <row r="74" spans="4:7" x14ac:dyDescent="0.3">
      <c r="D74" t="s">
        <v>1232</v>
      </c>
    </row>
  </sheetData>
  <hyperlinks>
    <hyperlink ref="A1" location="Menu!A1" display="Menu"/>
    <hyperlink ref="L8:M8" location="'Inquiry reportmen'!A1" display="│   ├── Inquiry Register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5"/>
  <sheetViews>
    <sheetView showGridLines="0" workbookViewId="0">
      <selection activeCell="B20" sqref="B20"/>
    </sheetView>
  </sheetViews>
  <sheetFormatPr defaultRowHeight="14.4" x14ac:dyDescent="0.3"/>
  <cols>
    <col min="2" max="2" width="14.109375" customWidth="1"/>
    <col min="3" max="3" width="13.44140625" customWidth="1"/>
    <col min="4" max="5" width="13.33203125" customWidth="1"/>
    <col min="10" max="10" width="36.21875" customWidth="1"/>
    <col min="11" max="11" width="13.21875" customWidth="1"/>
    <col min="12" max="12" width="18.33203125" customWidth="1"/>
    <col min="13" max="13" width="23.6640625" customWidth="1"/>
    <col min="14" max="14" width="2.88671875" customWidth="1"/>
  </cols>
  <sheetData>
    <row r="1" spans="1:16" x14ac:dyDescent="0.3">
      <c r="A1" s="2" t="s">
        <v>33</v>
      </c>
    </row>
    <row r="2" spans="1:16" x14ac:dyDescent="0.3">
      <c r="B2" s="12"/>
      <c r="C2" s="12"/>
      <c r="D2" s="12"/>
      <c r="E2" s="12"/>
      <c r="F2" s="12"/>
      <c r="G2" s="13" t="s">
        <v>72</v>
      </c>
      <c r="H2" s="12"/>
      <c r="I2" s="12"/>
      <c r="J2" s="12"/>
      <c r="K2" s="12"/>
      <c r="L2" s="12"/>
      <c r="M2" s="12"/>
    </row>
    <row r="3" spans="1:16" x14ac:dyDescent="0.3">
      <c r="F3" s="352" t="s">
        <v>54</v>
      </c>
      <c r="G3" s="352"/>
      <c r="H3" s="352"/>
      <c r="I3" s="352"/>
      <c r="P3" t="s">
        <v>385</v>
      </c>
    </row>
    <row r="4" spans="1:16" x14ac:dyDescent="0.3">
      <c r="B4" s="9" t="s">
        <v>34</v>
      </c>
      <c r="C4" s="9" t="s">
        <v>35</v>
      </c>
      <c r="D4" s="9" t="s">
        <v>36</v>
      </c>
      <c r="E4" s="9" t="s">
        <v>45</v>
      </c>
      <c r="F4" s="9" t="s">
        <v>37</v>
      </c>
      <c r="G4" s="9" t="s">
        <v>40</v>
      </c>
      <c r="H4" s="9" t="s">
        <v>38</v>
      </c>
      <c r="I4" s="9" t="s">
        <v>39</v>
      </c>
      <c r="J4" s="9" t="s">
        <v>41</v>
      </c>
      <c r="K4" s="19" t="s">
        <v>42</v>
      </c>
      <c r="L4" s="9" t="s">
        <v>104</v>
      </c>
      <c r="M4" s="121" t="s">
        <v>384</v>
      </c>
    </row>
    <row r="5" spans="1:16" x14ac:dyDescent="0.3">
      <c r="F5" s="3">
        <v>300</v>
      </c>
      <c r="G5" s="3">
        <v>600</v>
      </c>
      <c r="H5" s="3">
        <v>609</v>
      </c>
      <c r="I5" s="3"/>
      <c r="J5" s="3"/>
      <c r="L5" s="3"/>
      <c r="O5" s="5" t="s">
        <v>44</v>
      </c>
    </row>
    <row r="8" spans="1:16" x14ac:dyDescent="0.3">
      <c r="B8" s="9" t="s">
        <v>34</v>
      </c>
      <c r="C8" s="9" t="s">
        <v>35</v>
      </c>
      <c r="D8" s="9" t="s">
        <v>36</v>
      </c>
      <c r="E8" s="9" t="s">
        <v>45</v>
      </c>
      <c r="F8" s="9" t="s">
        <v>37</v>
      </c>
      <c r="G8" s="9" t="s">
        <v>40</v>
      </c>
      <c r="H8" s="9" t="s">
        <v>38</v>
      </c>
      <c r="I8" s="9" t="s">
        <v>39</v>
      </c>
      <c r="J8" s="9" t="s">
        <v>41</v>
      </c>
      <c r="K8" s="9" t="s">
        <v>42</v>
      </c>
      <c r="L8" s="9" t="s">
        <v>104</v>
      </c>
      <c r="M8" s="9" t="s">
        <v>384</v>
      </c>
    </row>
    <row r="9" spans="1:16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t="s">
        <v>56</v>
      </c>
    </row>
    <row r="10" spans="1:16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t="s">
        <v>56</v>
      </c>
    </row>
    <row r="11" spans="1:16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t="s">
        <v>56</v>
      </c>
    </row>
    <row r="12" spans="1:16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t="s">
        <v>56</v>
      </c>
    </row>
    <row r="13" spans="1:16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t="s">
        <v>56</v>
      </c>
    </row>
    <row r="15" spans="1:16" x14ac:dyDescent="0.3">
      <c r="G15" t="s">
        <v>443</v>
      </c>
    </row>
  </sheetData>
  <mergeCells count="1">
    <mergeCell ref="F3:I3"/>
  </mergeCells>
  <hyperlinks>
    <hyperlink ref="A1" location="Menu!A1" display="menu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3" r:id="rId4" name="Drop Down 5">
              <controlPr defaultSize="0" autoLine="0" autoPict="0">
                <anchor moveWithCells="1">
                  <from>
                    <xdr:col>12</xdr:col>
                    <xdr:colOff>22860</xdr:colOff>
                    <xdr:row>4</xdr:row>
                    <xdr:rowOff>30480</xdr:rowOff>
                  </from>
                  <to>
                    <xdr:col>13</xdr:col>
                    <xdr:colOff>30480</xdr:colOff>
                    <xdr:row>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" r:id="rId5" name="Drop Down 1">
              <controlPr defaultSize="0" autoLine="0" autoPict="0">
                <anchor moveWithCells="1">
                  <from>
                    <xdr:col>1</xdr:col>
                    <xdr:colOff>0</xdr:colOff>
                    <xdr:row>4</xdr:row>
                    <xdr:rowOff>30480</xdr:rowOff>
                  </from>
                  <to>
                    <xdr:col>1</xdr:col>
                    <xdr:colOff>876300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6" name="Drop Down 2">
              <controlPr defaultSize="0" autoLine="0" autoPict="0">
                <anchor moveWithCells="1">
                  <from>
                    <xdr:col>2</xdr:col>
                    <xdr:colOff>15240</xdr:colOff>
                    <xdr:row>4</xdr:row>
                    <xdr:rowOff>38100</xdr:rowOff>
                  </from>
                  <to>
                    <xdr:col>2</xdr:col>
                    <xdr:colOff>891540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7" name="Drop Down 3">
              <controlPr defaultSize="0" autoLine="0" autoPict="0">
                <anchor moveWithCells="1">
                  <from>
                    <xdr:col>3</xdr:col>
                    <xdr:colOff>7620</xdr:colOff>
                    <xdr:row>4</xdr:row>
                    <xdr:rowOff>30480</xdr:rowOff>
                  </from>
                  <to>
                    <xdr:col>3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8" name="Drop Down 4">
              <controlPr defaultSize="0" autoLine="0" autoPict="0">
                <anchor moveWithCells="1">
                  <from>
                    <xdr:col>10</xdr:col>
                    <xdr:colOff>22860</xdr:colOff>
                    <xdr:row>4</xdr:row>
                    <xdr:rowOff>22860</xdr:rowOff>
                  </from>
                  <to>
                    <xdr:col>10</xdr:col>
                    <xdr:colOff>899160</xdr:colOff>
                    <xdr:row>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Drop Down 6">
              <controlPr defaultSize="0" autoLine="0" autoPict="0">
                <anchor moveWithCells="1">
                  <from>
                    <xdr:col>4</xdr:col>
                    <xdr:colOff>7620</xdr:colOff>
                    <xdr:row>4</xdr:row>
                    <xdr:rowOff>30480</xdr:rowOff>
                  </from>
                  <to>
                    <xdr:col>4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5"/>
  <sheetViews>
    <sheetView showGridLines="0" workbookViewId="0"/>
  </sheetViews>
  <sheetFormatPr defaultRowHeight="14.4" x14ac:dyDescent="0.3"/>
  <cols>
    <col min="2" max="2" width="14.109375" customWidth="1"/>
    <col min="3" max="3" width="13.44140625" customWidth="1"/>
    <col min="4" max="5" width="13.33203125" customWidth="1"/>
    <col min="10" max="10" width="37.77734375" customWidth="1"/>
    <col min="11" max="12" width="13.21875" customWidth="1"/>
    <col min="13" max="13" width="23.6640625" customWidth="1"/>
    <col min="14" max="14" width="2.88671875" customWidth="1"/>
  </cols>
  <sheetData>
    <row r="1" spans="1:15" x14ac:dyDescent="0.3">
      <c r="A1" s="2" t="s">
        <v>33</v>
      </c>
    </row>
    <row r="2" spans="1:15" x14ac:dyDescent="0.3">
      <c r="B2" s="12"/>
      <c r="C2" s="12"/>
      <c r="D2" s="12"/>
      <c r="E2" s="12"/>
      <c r="F2" s="12"/>
      <c r="G2" s="13" t="s">
        <v>84</v>
      </c>
      <c r="H2" s="12"/>
      <c r="I2" s="12"/>
      <c r="J2" s="12"/>
      <c r="K2" s="12"/>
      <c r="L2" s="12"/>
      <c r="M2" s="12"/>
    </row>
    <row r="3" spans="1:15" x14ac:dyDescent="0.3">
      <c r="F3" s="355"/>
      <c r="G3" s="355"/>
      <c r="H3" s="355"/>
      <c r="I3" s="355"/>
    </row>
    <row r="4" spans="1:15" x14ac:dyDescent="0.3">
      <c r="B4" s="9" t="s">
        <v>34</v>
      </c>
      <c r="C4" s="9" t="s">
        <v>35</v>
      </c>
      <c r="D4" s="9" t="s">
        <v>36</v>
      </c>
      <c r="E4" s="19" t="s">
        <v>45</v>
      </c>
      <c r="F4" s="14"/>
      <c r="G4" s="14" t="s">
        <v>78</v>
      </c>
      <c r="H4" s="14"/>
      <c r="I4" s="14"/>
      <c r="J4" s="14"/>
      <c r="K4" s="14"/>
      <c r="L4" s="14"/>
      <c r="M4" s="14"/>
    </row>
    <row r="5" spans="1:15" x14ac:dyDescent="0.3">
      <c r="F5" s="23" t="s">
        <v>55</v>
      </c>
      <c r="G5" s="14"/>
      <c r="H5" s="14"/>
      <c r="I5" s="14"/>
      <c r="J5" s="14"/>
      <c r="K5" s="14"/>
      <c r="L5" s="14"/>
      <c r="M5" s="14"/>
      <c r="O5" s="22"/>
    </row>
    <row r="7" spans="1:15" x14ac:dyDescent="0.3">
      <c r="F7" s="356" t="s">
        <v>54</v>
      </c>
      <c r="G7" s="356"/>
      <c r="H7" s="356"/>
      <c r="I7" s="356"/>
    </row>
    <row r="8" spans="1:15" x14ac:dyDescent="0.3">
      <c r="B8" s="9" t="s">
        <v>34</v>
      </c>
      <c r="C8" s="9" t="s">
        <v>35</v>
      </c>
      <c r="D8" s="9" t="s">
        <v>36</v>
      </c>
      <c r="E8" s="9" t="s">
        <v>45</v>
      </c>
      <c r="F8" s="9" t="s">
        <v>37</v>
      </c>
      <c r="G8" s="9" t="s">
        <v>40</v>
      </c>
      <c r="H8" s="9" t="s">
        <v>38</v>
      </c>
      <c r="I8" s="9" t="s">
        <v>39</v>
      </c>
      <c r="J8" s="9" t="s">
        <v>41</v>
      </c>
      <c r="K8" s="9" t="s">
        <v>42</v>
      </c>
      <c r="L8" s="9" t="s">
        <v>104</v>
      </c>
      <c r="M8" s="9" t="s">
        <v>384</v>
      </c>
    </row>
    <row r="9" spans="1:15" x14ac:dyDescent="0.3">
      <c r="B9" s="353"/>
      <c r="C9" s="353"/>
      <c r="D9" s="353"/>
      <c r="E9" s="353"/>
      <c r="F9" s="8" t="s">
        <v>79</v>
      </c>
      <c r="G9" s="8" t="s">
        <v>79</v>
      </c>
      <c r="H9" s="8" t="s">
        <v>79</v>
      </c>
      <c r="I9" s="8" t="s">
        <v>79</v>
      </c>
      <c r="J9" s="353"/>
      <c r="K9" s="353"/>
      <c r="L9" s="77"/>
      <c r="M9" s="353"/>
    </row>
    <row r="10" spans="1:15" x14ac:dyDescent="0.3">
      <c r="B10" s="354"/>
      <c r="C10" s="354"/>
      <c r="D10" s="354"/>
      <c r="E10" s="354"/>
      <c r="F10" s="25">
        <v>20</v>
      </c>
      <c r="G10" s="25" t="s">
        <v>80</v>
      </c>
      <c r="H10" s="25" t="s">
        <v>80</v>
      </c>
      <c r="I10" s="25" t="s">
        <v>80</v>
      </c>
      <c r="J10" s="354"/>
      <c r="K10" s="354"/>
      <c r="L10" s="78"/>
      <c r="M10" s="354"/>
    </row>
    <row r="11" spans="1:15" x14ac:dyDescent="0.3">
      <c r="B11" s="353"/>
      <c r="C11" s="353"/>
      <c r="D11" s="353"/>
      <c r="E11" s="353"/>
      <c r="F11" s="8" t="s">
        <v>79</v>
      </c>
      <c r="G11" s="8" t="s">
        <v>79</v>
      </c>
      <c r="H11" s="8" t="s">
        <v>79</v>
      </c>
      <c r="I11" s="8" t="s">
        <v>79</v>
      </c>
      <c r="J11" s="353"/>
      <c r="K11" s="353"/>
      <c r="L11" s="77"/>
      <c r="M11" s="353"/>
    </row>
    <row r="12" spans="1:15" x14ac:dyDescent="0.3">
      <c r="B12" s="354"/>
      <c r="C12" s="354"/>
      <c r="D12" s="354"/>
      <c r="E12" s="354"/>
      <c r="F12" s="25" t="s">
        <v>80</v>
      </c>
      <c r="G12" s="25" t="s">
        <v>80</v>
      </c>
      <c r="H12" s="25" t="s">
        <v>80</v>
      </c>
      <c r="I12" s="25" t="s">
        <v>80</v>
      </c>
      <c r="J12" s="354"/>
      <c r="K12" s="354"/>
      <c r="L12" s="78"/>
      <c r="M12" s="354"/>
    </row>
    <row r="13" spans="1:15" x14ac:dyDescent="0.3">
      <c r="B13" s="353"/>
      <c r="C13" s="353"/>
      <c r="D13" s="353"/>
      <c r="E13" s="353"/>
      <c r="F13" s="8" t="s">
        <v>79</v>
      </c>
      <c r="G13" s="8" t="s">
        <v>79</v>
      </c>
      <c r="H13" s="8" t="s">
        <v>79</v>
      </c>
      <c r="I13" s="8" t="s">
        <v>79</v>
      </c>
      <c r="J13" s="353"/>
      <c r="K13" s="353"/>
      <c r="L13" s="77"/>
      <c r="M13" s="353"/>
    </row>
    <row r="14" spans="1:15" x14ac:dyDescent="0.3">
      <c r="B14" s="354"/>
      <c r="C14" s="354"/>
      <c r="D14" s="354"/>
      <c r="E14" s="354"/>
      <c r="F14" s="25" t="s">
        <v>80</v>
      </c>
      <c r="G14" s="25" t="s">
        <v>80</v>
      </c>
      <c r="H14" s="25" t="s">
        <v>80</v>
      </c>
      <c r="I14" s="25" t="s">
        <v>80</v>
      </c>
      <c r="J14" s="354"/>
      <c r="K14" s="354"/>
      <c r="L14" s="78"/>
      <c r="M14" s="354"/>
    </row>
    <row r="15" spans="1:15" x14ac:dyDescent="0.3">
      <c r="M15" s="24" t="s">
        <v>106</v>
      </c>
    </row>
  </sheetData>
  <mergeCells count="23">
    <mergeCell ref="M13:M14"/>
    <mergeCell ref="F7:I7"/>
    <mergeCell ref="B13:B14"/>
    <mergeCell ref="C13:C14"/>
    <mergeCell ref="D13:D14"/>
    <mergeCell ref="E13:E14"/>
    <mergeCell ref="J13:J14"/>
    <mergeCell ref="K13:K14"/>
    <mergeCell ref="K9:K10"/>
    <mergeCell ref="M9:M10"/>
    <mergeCell ref="B11:B12"/>
    <mergeCell ref="C11:C12"/>
    <mergeCell ref="D11:D12"/>
    <mergeCell ref="E11:E12"/>
    <mergeCell ref="J11:J12"/>
    <mergeCell ref="K11:K12"/>
    <mergeCell ref="M11:M12"/>
    <mergeCell ref="F3:I3"/>
    <mergeCell ref="B9:B10"/>
    <mergeCell ref="C9:C10"/>
    <mergeCell ref="D9:D10"/>
    <mergeCell ref="E9:E10"/>
    <mergeCell ref="J9:J10"/>
  </mergeCells>
  <hyperlinks>
    <hyperlink ref="A1" location="Menu!A1" display="menu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Drop Down 1">
              <controlPr defaultSize="0" autoLine="0" autoPict="0">
                <anchor moveWithCells="1">
                  <from>
                    <xdr:col>1</xdr:col>
                    <xdr:colOff>0</xdr:colOff>
                    <xdr:row>4</xdr:row>
                    <xdr:rowOff>30480</xdr:rowOff>
                  </from>
                  <to>
                    <xdr:col>1</xdr:col>
                    <xdr:colOff>876300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Drop Down 2">
              <controlPr defaultSize="0" autoLine="0" autoPict="0">
                <anchor moveWithCells="1">
                  <from>
                    <xdr:col>2</xdr:col>
                    <xdr:colOff>15240</xdr:colOff>
                    <xdr:row>4</xdr:row>
                    <xdr:rowOff>38100</xdr:rowOff>
                  </from>
                  <to>
                    <xdr:col>2</xdr:col>
                    <xdr:colOff>891540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Drop Down 3">
              <controlPr defaultSize="0" autoLine="0" autoPict="0">
                <anchor moveWithCells="1">
                  <from>
                    <xdr:col>3</xdr:col>
                    <xdr:colOff>7620</xdr:colOff>
                    <xdr:row>4</xdr:row>
                    <xdr:rowOff>30480</xdr:rowOff>
                  </from>
                  <to>
                    <xdr:col>3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7" name="Drop Down 6">
              <controlPr defaultSize="0" autoLine="0" autoPict="0">
                <anchor moveWithCells="1">
                  <from>
                    <xdr:col>4</xdr:col>
                    <xdr:colOff>7620</xdr:colOff>
                    <xdr:row>4</xdr:row>
                    <xdr:rowOff>30480</xdr:rowOff>
                  </from>
                  <to>
                    <xdr:col>4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5"/>
  <sheetViews>
    <sheetView showGridLines="0" workbookViewId="0"/>
  </sheetViews>
  <sheetFormatPr defaultRowHeight="14.4" x14ac:dyDescent="0.3"/>
  <cols>
    <col min="2" max="2" width="13.109375" customWidth="1"/>
    <col min="3" max="3" width="13.5546875" customWidth="1"/>
    <col min="4" max="4" width="13.44140625" customWidth="1"/>
    <col min="5" max="5" width="13.5546875" customWidth="1"/>
    <col min="10" max="10" width="30.6640625" customWidth="1"/>
    <col min="11" max="12" width="13.109375" customWidth="1"/>
    <col min="13" max="13" width="21.33203125" customWidth="1"/>
    <col min="14" max="14" width="2.44140625" customWidth="1"/>
  </cols>
  <sheetData>
    <row r="1" spans="1:15" x14ac:dyDescent="0.3">
      <c r="A1" s="2" t="s">
        <v>33</v>
      </c>
    </row>
    <row r="3" spans="1:15" x14ac:dyDescent="0.3">
      <c r="B3" s="9" t="s">
        <v>34</v>
      </c>
      <c r="C3" s="9" t="s">
        <v>35</v>
      </c>
      <c r="D3" s="9" t="s">
        <v>36</v>
      </c>
      <c r="E3" s="9" t="s">
        <v>45</v>
      </c>
      <c r="H3" s="14" t="s">
        <v>78</v>
      </c>
    </row>
    <row r="4" spans="1:15" x14ac:dyDescent="0.3">
      <c r="F4" s="10" t="s">
        <v>55</v>
      </c>
    </row>
    <row r="5" spans="1:15" x14ac:dyDescent="0.3">
      <c r="O5" t="s">
        <v>57</v>
      </c>
    </row>
    <row r="6" spans="1:15" x14ac:dyDescent="0.3">
      <c r="M6" s="11" t="s">
        <v>82</v>
      </c>
      <c r="O6" t="s">
        <v>58</v>
      </c>
    </row>
    <row r="7" spans="1:15" x14ac:dyDescent="0.3">
      <c r="F7" s="352" t="s">
        <v>54</v>
      </c>
      <c r="G7" s="352"/>
      <c r="H7" s="352"/>
      <c r="I7" s="352"/>
      <c r="O7" t="s">
        <v>60</v>
      </c>
    </row>
    <row r="8" spans="1:15" x14ac:dyDescent="0.3">
      <c r="B8" s="9" t="s">
        <v>34</v>
      </c>
      <c r="C8" s="9" t="s">
        <v>35</v>
      </c>
      <c r="D8" s="9" t="s">
        <v>36</v>
      </c>
      <c r="E8" s="9" t="s">
        <v>45</v>
      </c>
      <c r="F8" s="9" t="s">
        <v>37</v>
      </c>
      <c r="G8" s="9" t="s">
        <v>40</v>
      </c>
      <c r="H8" s="9" t="s">
        <v>38</v>
      </c>
      <c r="I8" s="9" t="s">
        <v>39</v>
      </c>
      <c r="J8" s="9" t="s">
        <v>41</v>
      </c>
      <c r="K8" s="9" t="s">
        <v>42</v>
      </c>
      <c r="L8" s="9" t="s">
        <v>104</v>
      </c>
      <c r="M8" s="9" t="s">
        <v>43</v>
      </c>
      <c r="O8" s="15" t="s">
        <v>61</v>
      </c>
    </row>
    <row r="9" spans="1:15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14" t="s">
        <v>62</v>
      </c>
    </row>
    <row r="10" spans="1:15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14" t="s">
        <v>63</v>
      </c>
    </row>
    <row r="11" spans="1:15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5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5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5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5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</sheetData>
  <mergeCells count="1">
    <mergeCell ref="F7:I7"/>
  </mergeCells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Drop Down 1">
              <controlPr defaultSize="0" autoLine="0" autoPict="0">
                <anchor moveWithCells="1">
                  <from>
                    <xdr:col>1</xdr:col>
                    <xdr:colOff>0</xdr:colOff>
                    <xdr:row>3</xdr:row>
                    <xdr:rowOff>30480</xdr:rowOff>
                  </from>
                  <to>
                    <xdr:col>1</xdr:col>
                    <xdr:colOff>876300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Drop Down 2">
              <controlPr defaultSize="0" autoLine="0" autoPict="0">
                <anchor moveWithCells="1">
                  <from>
                    <xdr:col>2</xdr:col>
                    <xdr:colOff>15240</xdr:colOff>
                    <xdr:row>3</xdr:row>
                    <xdr:rowOff>38100</xdr:rowOff>
                  </from>
                  <to>
                    <xdr:col>2</xdr:col>
                    <xdr:colOff>891540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Drop Down 3">
              <controlPr defaultSize="0" autoLine="0" autoPict="0">
                <anchor moveWithCells="1">
                  <from>
                    <xdr:col>3</xdr:col>
                    <xdr:colOff>7620</xdr:colOff>
                    <xdr:row>3</xdr:row>
                    <xdr:rowOff>30480</xdr:rowOff>
                  </from>
                  <to>
                    <xdr:col>3</xdr:col>
                    <xdr:colOff>883920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6" name="Drop Down 4">
              <controlPr defaultSize="0" autoLine="0" autoPict="0">
                <anchor moveWithCells="1">
                  <from>
                    <xdr:col>4</xdr:col>
                    <xdr:colOff>7620</xdr:colOff>
                    <xdr:row>3</xdr:row>
                    <xdr:rowOff>30480</xdr:rowOff>
                  </from>
                  <to>
                    <xdr:col>4</xdr:col>
                    <xdr:colOff>883920</xdr:colOff>
                    <xdr:row>4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3"/>
  <sheetViews>
    <sheetView showGridLines="0" workbookViewId="0"/>
  </sheetViews>
  <sheetFormatPr defaultRowHeight="14.4" x14ac:dyDescent="0.3"/>
  <cols>
    <col min="2" max="2" width="14.109375" customWidth="1"/>
    <col min="3" max="3" width="13.44140625" customWidth="1"/>
    <col min="4" max="5" width="13.33203125" customWidth="1"/>
    <col min="10" max="10" width="37.77734375" customWidth="1"/>
    <col min="11" max="12" width="13.21875" customWidth="1"/>
    <col min="13" max="13" width="23.6640625" customWidth="1"/>
    <col min="14" max="14" width="2.88671875" customWidth="1"/>
  </cols>
  <sheetData>
    <row r="1" spans="1:15" x14ac:dyDescent="0.3">
      <c r="A1" s="2" t="s">
        <v>33</v>
      </c>
    </row>
    <row r="2" spans="1:15" x14ac:dyDescent="0.3">
      <c r="B2" s="12"/>
      <c r="C2" s="12"/>
      <c r="D2" s="12"/>
      <c r="E2" s="12"/>
      <c r="F2" s="12"/>
      <c r="G2" s="13" t="s">
        <v>71</v>
      </c>
      <c r="H2" s="12"/>
      <c r="I2" s="12"/>
      <c r="J2" s="12"/>
      <c r="K2" s="12"/>
      <c r="L2" s="12"/>
      <c r="M2" s="12"/>
    </row>
    <row r="3" spans="1:15" x14ac:dyDescent="0.3">
      <c r="F3" s="352" t="s">
        <v>73</v>
      </c>
      <c r="G3" s="352"/>
      <c r="H3" s="352"/>
      <c r="I3" s="352"/>
    </row>
    <row r="4" spans="1:15" x14ac:dyDescent="0.3">
      <c r="B4" s="9" t="s">
        <v>34</v>
      </c>
      <c r="C4" s="9" t="s">
        <v>35</v>
      </c>
      <c r="D4" s="9" t="s">
        <v>36</v>
      </c>
      <c r="E4" s="9" t="s">
        <v>45</v>
      </c>
      <c r="F4" s="9" t="s">
        <v>74</v>
      </c>
      <c r="G4" s="16" t="s">
        <v>75</v>
      </c>
      <c r="H4" s="17" t="s">
        <v>76</v>
      </c>
      <c r="I4" s="18" t="s">
        <v>77</v>
      </c>
      <c r="J4" s="9" t="s">
        <v>41</v>
      </c>
      <c r="K4" s="9" t="s">
        <v>42</v>
      </c>
      <c r="L4" s="9" t="s">
        <v>104</v>
      </c>
      <c r="M4" s="9" t="s">
        <v>384</v>
      </c>
    </row>
    <row r="5" spans="1:15" x14ac:dyDescent="0.3">
      <c r="F5" s="3"/>
      <c r="G5" s="3"/>
      <c r="H5" s="3"/>
      <c r="I5" s="3"/>
      <c r="J5" s="3"/>
      <c r="O5" s="5" t="s">
        <v>44</v>
      </c>
    </row>
    <row r="7" spans="1:15" x14ac:dyDescent="0.3">
      <c r="F7" s="352" t="s">
        <v>73</v>
      </c>
      <c r="G7" s="352"/>
      <c r="H7" s="352"/>
      <c r="I7" s="352"/>
    </row>
    <row r="8" spans="1:15" x14ac:dyDescent="0.3">
      <c r="B8" s="9" t="s">
        <v>34</v>
      </c>
      <c r="C8" s="9" t="s">
        <v>35</v>
      </c>
      <c r="D8" s="9" t="s">
        <v>36</v>
      </c>
      <c r="E8" s="9" t="s">
        <v>45</v>
      </c>
      <c r="F8" s="9" t="s">
        <v>74</v>
      </c>
      <c r="G8" s="16" t="s">
        <v>75</v>
      </c>
      <c r="H8" s="17" t="s">
        <v>76</v>
      </c>
      <c r="I8" s="18" t="s">
        <v>77</v>
      </c>
      <c r="J8" s="9" t="s">
        <v>41</v>
      </c>
      <c r="K8" s="9" t="s">
        <v>42</v>
      </c>
      <c r="L8" s="9" t="s">
        <v>104</v>
      </c>
      <c r="M8" s="9" t="s">
        <v>384</v>
      </c>
    </row>
    <row r="9" spans="1:15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t="s">
        <v>56</v>
      </c>
    </row>
    <row r="10" spans="1:15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t="s">
        <v>56</v>
      </c>
    </row>
    <row r="11" spans="1:15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t="s">
        <v>56</v>
      </c>
    </row>
    <row r="12" spans="1:15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t="s">
        <v>56</v>
      </c>
    </row>
    <row r="13" spans="1:15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t="s">
        <v>56</v>
      </c>
    </row>
  </sheetData>
  <mergeCells count="2">
    <mergeCell ref="F3:I3"/>
    <mergeCell ref="F7:I7"/>
  </mergeCells>
  <hyperlinks>
    <hyperlink ref="A1" location="Menu!A1" display="menu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Drop Down 1">
              <controlPr defaultSize="0" autoLine="0" autoPict="0">
                <anchor moveWithCells="1">
                  <from>
                    <xdr:col>1</xdr:col>
                    <xdr:colOff>0</xdr:colOff>
                    <xdr:row>4</xdr:row>
                    <xdr:rowOff>30480</xdr:rowOff>
                  </from>
                  <to>
                    <xdr:col>1</xdr:col>
                    <xdr:colOff>876300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Drop Down 2">
              <controlPr defaultSize="0" autoLine="0" autoPict="0">
                <anchor moveWithCells="1">
                  <from>
                    <xdr:col>2</xdr:col>
                    <xdr:colOff>15240</xdr:colOff>
                    <xdr:row>4</xdr:row>
                    <xdr:rowOff>38100</xdr:rowOff>
                  </from>
                  <to>
                    <xdr:col>2</xdr:col>
                    <xdr:colOff>891540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Drop Down 3">
              <controlPr defaultSize="0" autoLine="0" autoPict="0">
                <anchor moveWithCells="1">
                  <from>
                    <xdr:col>3</xdr:col>
                    <xdr:colOff>7620</xdr:colOff>
                    <xdr:row>4</xdr:row>
                    <xdr:rowOff>30480</xdr:rowOff>
                  </from>
                  <to>
                    <xdr:col>3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Drop Down 4">
              <controlPr defaultSize="0" autoLine="0" autoPict="0">
                <anchor moveWithCells="1">
                  <from>
                    <xdr:col>10</xdr:col>
                    <xdr:colOff>22860</xdr:colOff>
                    <xdr:row>4</xdr:row>
                    <xdr:rowOff>22860</xdr:rowOff>
                  </from>
                  <to>
                    <xdr:col>10</xdr:col>
                    <xdr:colOff>899160</xdr:colOff>
                    <xdr:row>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Drop Down 5">
              <controlPr defaultSize="0" autoLine="0" autoPict="0">
                <anchor moveWithCells="1">
                  <from>
                    <xdr:col>12</xdr:col>
                    <xdr:colOff>22860</xdr:colOff>
                    <xdr:row>4</xdr:row>
                    <xdr:rowOff>30480</xdr:rowOff>
                  </from>
                  <to>
                    <xdr:col>13</xdr:col>
                    <xdr:colOff>30480</xdr:colOff>
                    <xdr:row>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Drop Down 6">
              <controlPr defaultSize="0" autoLine="0" autoPict="0">
                <anchor moveWithCells="1">
                  <from>
                    <xdr:col>4</xdr:col>
                    <xdr:colOff>7620</xdr:colOff>
                    <xdr:row>4</xdr:row>
                    <xdr:rowOff>30480</xdr:rowOff>
                  </from>
                  <to>
                    <xdr:col>4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5"/>
  <sheetViews>
    <sheetView showGridLines="0" workbookViewId="0"/>
  </sheetViews>
  <sheetFormatPr defaultRowHeight="14.4" x14ac:dyDescent="0.3"/>
  <cols>
    <col min="2" max="2" width="14.109375" customWidth="1"/>
    <col min="3" max="3" width="13.44140625" customWidth="1"/>
    <col min="4" max="5" width="13.33203125" customWidth="1"/>
    <col min="10" max="10" width="37.77734375" customWidth="1"/>
    <col min="11" max="12" width="13.21875" customWidth="1"/>
    <col min="13" max="13" width="23.6640625" customWidth="1"/>
    <col min="14" max="14" width="2.88671875" customWidth="1"/>
  </cols>
  <sheetData>
    <row r="1" spans="1:13" x14ac:dyDescent="0.3">
      <c r="A1" s="2" t="s">
        <v>33</v>
      </c>
    </row>
    <row r="2" spans="1:13" x14ac:dyDescent="0.3">
      <c r="B2" s="12"/>
      <c r="C2" s="12"/>
      <c r="D2" s="12"/>
      <c r="E2" s="12"/>
      <c r="F2" s="12"/>
      <c r="G2" s="13" t="s">
        <v>85</v>
      </c>
      <c r="H2" s="12"/>
      <c r="I2" s="12"/>
      <c r="J2" s="12"/>
      <c r="K2" s="12"/>
      <c r="L2" s="12"/>
      <c r="M2" s="12"/>
    </row>
    <row r="3" spans="1:13" x14ac:dyDescent="0.3">
      <c r="F3" s="355"/>
      <c r="G3" s="355"/>
      <c r="H3" s="355"/>
      <c r="I3" s="355"/>
      <c r="J3" s="14"/>
      <c r="K3" s="14"/>
      <c r="L3" s="14"/>
      <c r="M3" s="14"/>
    </row>
    <row r="4" spans="1:13" x14ac:dyDescent="0.3">
      <c r="B4" s="9" t="s">
        <v>34</v>
      </c>
      <c r="C4" s="9" t="s">
        <v>35</v>
      </c>
      <c r="D4" s="9" t="s">
        <v>36</v>
      </c>
      <c r="E4" s="19" t="s">
        <v>45</v>
      </c>
      <c r="F4" s="14"/>
      <c r="G4" s="26"/>
      <c r="H4" s="27"/>
      <c r="I4" s="28"/>
      <c r="J4" s="14"/>
      <c r="K4" s="14"/>
      <c r="L4" s="14"/>
      <c r="M4" s="14"/>
    </row>
    <row r="5" spans="1:13" x14ac:dyDescent="0.3">
      <c r="F5" s="30" t="s">
        <v>55</v>
      </c>
      <c r="G5" s="14"/>
      <c r="H5" s="14"/>
      <c r="I5" s="14"/>
      <c r="J5" s="14"/>
      <c r="K5" s="14"/>
      <c r="L5" s="14"/>
      <c r="M5" s="14"/>
    </row>
    <row r="7" spans="1:13" x14ac:dyDescent="0.3">
      <c r="F7" s="352" t="s">
        <v>73</v>
      </c>
      <c r="G7" s="352"/>
      <c r="H7" s="352"/>
      <c r="I7" s="352"/>
    </row>
    <row r="8" spans="1:13" x14ac:dyDescent="0.3">
      <c r="B8" s="9" t="s">
        <v>34</v>
      </c>
      <c r="C8" s="9" t="s">
        <v>35</v>
      </c>
      <c r="D8" s="9" t="s">
        <v>36</v>
      </c>
      <c r="E8" s="9" t="s">
        <v>45</v>
      </c>
      <c r="F8" s="9" t="s">
        <v>74</v>
      </c>
      <c r="G8" s="16" t="s">
        <v>75</v>
      </c>
      <c r="H8" s="17" t="s">
        <v>76</v>
      </c>
      <c r="I8" s="18" t="s">
        <v>77</v>
      </c>
      <c r="J8" s="9" t="s">
        <v>41</v>
      </c>
      <c r="K8" s="9" t="s">
        <v>42</v>
      </c>
      <c r="L8" s="9" t="s">
        <v>104</v>
      </c>
      <c r="M8" s="9" t="s">
        <v>384</v>
      </c>
    </row>
    <row r="9" spans="1:13" x14ac:dyDescent="0.3">
      <c r="B9" s="353"/>
      <c r="C9" s="353"/>
      <c r="D9" s="353"/>
      <c r="E9" s="353"/>
      <c r="F9" s="3" t="s">
        <v>83</v>
      </c>
      <c r="G9" s="3" t="s">
        <v>83</v>
      </c>
      <c r="H9" s="3" t="s">
        <v>83</v>
      </c>
      <c r="I9" s="3" t="s">
        <v>83</v>
      </c>
      <c r="J9" s="353"/>
      <c r="K9" s="353"/>
      <c r="L9" s="77"/>
      <c r="M9" s="353"/>
    </row>
    <row r="10" spans="1:13" x14ac:dyDescent="0.3">
      <c r="B10" s="354"/>
      <c r="C10" s="354"/>
      <c r="D10" s="354"/>
      <c r="E10" s="354"/>
      <c r="F10" s="29" t="s">
        <v>80</v>
      </c>
      <c r="G10" s="29" t="s">
        <v>80</v>
      </c>
      <c r="H10" s="29" t="s">
        <v>80</v>
      </c>
      <c r="I10" s="29" t="s">
        <v>80</v>
      </c>
      <c r="J10" s="354"/>
      <c r="K10" s="354"/>
      <c r="L10" s="78"/>
      <c r="M10" s="354"/>
    </row>
    <row r="11" spans="1:13" x14ac:dyDescent="0.3">
      <c r="B11" s="353"/>
      <c r="C11" s="353"/>
      <c r="D11" s="353"/>
      <c r="E11" s="353"/>
      <c r="F11" s="3" t="s">
        <v>83</v>
      </c>
      <c r="G11" s="3" t="s">
        <v>83</v>
      </c>
      <c r="H11" s="3" t="s">
        <v>83</v>
      </c>
      <c r="I11" s="3" t="s">
        <v>83</v>
      </c>
      <c r="J11" s="353"/>
      <c r="K11" s="353"/>
      <c r="L11" s="77"/>
      <c r="M11" s="353"/>
    </row>
    <row r="12" spans="1:13" x14ac:dyDescent="0.3">
      <c r="B12" s="354"/>
      <c r="C12" s="354"/>
      <c r="D12" s="354"/>
      <c r="E12" s="354"/>
      <c r="F12" s="29" t="s">
        <v>80</v>
      </c>
      <c r="G12" s="29" t="s">
        <v>80</v>
      </c>
      <c r="H12" s="29" t="s">
        <v>80</v>
      </c>
      <c r="I12" s="29" t="s">
        <v>80</v>
      </c>
      <c r="J12" s="354"/>
      <c r="K12" s="354"/>
      <c r="L12" s="78"/>
      <c r="M12" s="354"/>
    </row>
    <row r="13" spans="1:13" x14ac:dyDescent="0.3">
      <c r="B13" s="353"/>
      <c r="C13" s="353"/>
      <c r="D13" s="353"/>
      <c r="E13" s="353"/>
      <c r="F13" s="3" t="s">
        <v>83</v>
      </c>
      <c r="G13" s="3" t="s">
        <v>83</v>
      </c>
      <c r="H13" s="3" t="s">
        <v>83</v>
      </c>
      <c r="I13" s="3" t="s">
        <v>83</v>
      </c>
      <c r="J13" s="353"/>
      <c r="K13" s="353"/>
      <c r="L13" s="77"/>
      <c r="M13" s="353"/>
    </row>
    <row r="14" spans="1:13" x14ac:dyDescent="0.3">
      <c r="B14" s="354"/>
      <c r="C14" s="354"/>
      <c r="D14" s="354"/>
      <c r="E14" s="354"/>
      <c r="F14" s="29" t="s">
        <v>80</v>
      </c>
      <c r="G14" s="29" t="s">
        <v>80</v>
      </c>
      <c r="H14" s="29" t="s">
        <v>80</v>
      </c>
      <c r="I14" s="29" t="s">
        <v>80</v>
      </c>
      <c r="J14" s="354"/>
      <c r="K14" s="354"/>
      <c r="L14" s="78"/>
      <c r="M14" s="354"/>
    </row>
    <row r="15" spans="1:13" x14ac:dyDescent="0.3">
      <c r="M15" s="24" t="s">
        <v>81</v>
      </c>
    </row>
  </sheetData>
  <mergeCells count="23">
    <mergeCell ref="M13:M14"/>
    <mergeCell ref="B13:B14"/>
    <mergeCell ref="C13:C14"/>
    <mergeCell ref="D13:D14"/>
    <mergeCell ref="E13:E14"/>
    <mergeCell ref="J13:J14"/>
    <mergeCell ref="K13:K14"/>
    <mergeCell ref="J9:J10"/>
    <mergeCell ref="K9:K10"/>
    <mergeCell ref="M9:M10"/>
    <mergeCell ref="B11:B12"/>
    <mergeCell ref="C11:C12"/>
    <mergeCell ref="D11:D12"/>
    <mergeCell ref="E11:E12"/>
    <mergeCell ref="J11:J12"/>
    <mergeCell ref="K11:K12"/>
    <mergeCell ref="M11:M12"/>
    <mergeCell ref="F3:I3"/>
    <mergeCell ref="F7:I7"/>
    <mergeCell ref="B9:B10"/>
    <mergeCell ref="C9:C10"/>
    <mergeCell ref="D9:D10"/>
    <mergeCell ref="E9:E10"/>
  </mergeCells>
  <hyperlinks>
    <hyperlink ref="A1" location="Menu!A1" display="menu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Drop Down 1">
              <controlPr defaultSize="0" autoLine="0" autoPict="0">
                <anchor moveWithCells="1">
                  <from>
                    <xdr:col>1</xdr:col>
                    <xdr:colOff>0</xdr:colOff>
                    <xdr:row>4</xdr:row>
                    <xdr:rowOff>30480</xdr:rowOff>
                  </from>
                  <to>
                    <xdr:col>1</xdr:col>
                    <xdr:colOff>876300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Drop Down 2">
              <controlPr defaultSize="0" autoLine="0" autoPict="0">
                <anchor moveWithCells="1">
                  <from>
                    <xdr:col>2</xdr:col>
                    <xdr:colOff>15240</xdr:colOff>
                    <xdr:row>4</xdr:row>
                    <xdr:rowOff>38100</xdr:rowOff>
                  </from>
                  <to>
                    <xdr:col>2</xdr:col>
                    <xdr:colOff>891540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Drop Down 3">
              <controlPr defaultSize="0" autoLine="0" autoPict="0">
                <anchor moveWithCells="1">
                  <from>
                    <xdr:col>3</xdr:col>
                    <xdr:colOff>7620</xdr:colOff>
                    <xdr:row>4</xdr:row>
                    <xdr:rowOff>30480</xdr:rowOff>
                  </from>
                  <to>
                    <xdr:col>3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7" name="Drop Down 6">
              <controlPr defaultSize="0" autoLine="0" autoPict="0">
                <anchor moveWithCells="1">
                  <from>
                    <xdr:col>4</xdr:col>
                    <xdr:colOff>7620</xdr:colOff>
                    <xdr:row>4</xdr:row>
                    <xdr:rowOff>30480</xdr:rowOff>
                  </from>
                  <to>
                    <xdr:col>4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3"/>
  <sheetViews>
    <sheetView showGridLines="0" workbookViewId="0"/>
  </sheetViews>
  <sheetFormatPr defaultRowHeight="14.4" x14ac:dyDescent="0.3"/>
  <cols>
    <col min="2" max="2" width="14.109375" customWidth="1"/>
    <col min="3" max="3" width="13.44140625" customWidth="1"/>
    <col min="4" max="5" width="13.33203125" customWidth="1"/>
    <col min="10" max="10" width="37.77734375" customWidth="1"/>
    <col min="11" max="12" width="13.21875" customWidth="1"/>
    <col min="13" max="13" width="23.6640625" customWidth="1"/>
    <col min="14" max="14" width="2.88671875" customWidth="1"/>
  </cols>
  <sheetData>
    <row r="1" spans="1:13" x14ac:dyDescent="0.3">
      <c r="A1" s="2" t="s">
        <v>33</v>
      </c>
    </row>
    <row r="2" spans="1:13" x14ac:dyDescent="0.3">
      <c r="B2" s="12"/>
      <c r="C2" s="12"/>
      <c r="D2" s="12"/>
      <c r="E2" s="12"/>
      <c r="F2" s="12"/>
      <c r="G2" s="13" t="s">
        <v>88</v>
      </c>
      <c r="H2" s="12"/>
      <c r="I2" s="12"/>
      <c r="J2" s="12"/>
      <c r="K2" s="12"/>
      <c r="L2" s="12"/>
      <c r="M2" s="12"/>
    </row>
    <row r="3" spans="1:13" x14ac:dyDescent="0.3">
      <c r="F3" s="355"/>
      <c r="G3" s="355"/>
      <c r="H3" s="355"/>
      <c r="I3" s="355"/>
    </row>
    <row r="4" spans="1:13" x14ac:dyDescent="0.3">
      <c r="B4" s="9" t="s">
        <v>34</v>
      </c>
      <c r="C4" s="9" t="s">
        <v>35</v>
      </c>
      <c r="D4" s="9" t="s">
        <v>36</v>
      </c>
      <c r="E4" s="19" t="s">
        <v>45</v>
      </c>
      <c r="F4" s="14"/>
      <c r="G4" s="26"/>
      <c r="H4" s="27"/>
      <c r="I4" s="28"/>
      <c r="J4" s="14"/>
      <c r="K4" s="14"/>
      <c r="L4" s="14"/>
      <c r="M4" s="14"/>
    </row>
    <row r="5" spans="1:13" x14ac:dyDescent="0.3">
      <c r="F5" s="30" t="s">
        <v>89</v>
      </c>
      <c r="G5" s="14"/>
      <c r="H5" s="14"/>
      <c r="I5" s="14"/>
      <c r="J5" s="14"/>
      <c r="K5" s="14"/>
      <c r="L5" s="14"/>
      <c r="M5" s="14"/>
    </row>
    <row r="6" spans="1:13" x14ac:dyDescent="0.3">
      <c r="M6" s="6" t="s">
        <v>82</v>
      </c>
    </row>
    <row r="7" spans="1:13" x14ac:dyDescent="0.3">
      <c r="F7" s="352" t="s">
        <v>73</v>
      </c>
      <c r="G7" s="352"/>
      <c r="H7" s="352"/>
      <c r="I7" s="352"/>
    </row>
    <row r="8" spans="1:13" x14ac:dyDescent="0.3">
      <c r="B8" s="9" t="s">
        <v>34</v>
      </c>
      <c r="C8" s="9" t="s">
        <v>35</v>
      </c>
      <c r="D8" s="9" t="s">
        <v>36</v>
      </c>
      <c r="E8" s="9" t="s">
        <v>45</v>
      </c>
      <c r="F8" s="9" t="s">
        <v>74</v>
      </c>
      <c r="G8" s="16" t="s">
        <v>75</v>
      </c>
      <c r="H8" s="17" t="s">
        <v>76</v>
      </c>
      <c r="I8" s="18" t="s">
        <v>77</v>
      </c>
      <c r="J8" s="9" t="s">
        <v>41</v>
      </c>
      <c r="K8" s="9" t="s">
        <v>42</v>
      </c>
      <c r="L8" s="9" t="s">
        <v>104</v>
      </c>
      <c r="M8" s="9" t="s">
        <v>43</v>
      </c>
    </row>
    <row r="9" spans="1:13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</sheetData>
  <mergeCells count="2">
    <mergeCell ref="F3:I3"/>
    <mergeCell ref="F7:I7"/>
  </mergeCells>
  <hyperlinks>
    <hyperlink ref="A1" location="Menu!A1" display="menu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Drop Down 1">
              <controlPr defaultSize="0" autoLine="0" autoPict="0">
                <anchor moveWithCells="1">
                  <from>
                    <xdr:col>1</xdr:col>
                    <xdr:colOff>0</xdr:colOff>
                    <xdr:row>4</xdr:row>
                    <xdr:rowOff>30480</xdr:rowOff>
                  </from>
                  <to>
                    <xdr:col>1</xdr:col>
                    <xdr:colOff>876300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Drop Down 2">
              <controlPr defaultSize="0" autoLine="0" autoPict="0">
                <anchor moveWithCells="1">
                  <from>
                    <xdr:col>2</xdr:col>
                    <xdr:colOff>15240</xdr:colOff>
                    <xdr:row>4</xdr:row>
                    <xdr:rowOff>38100</xdr:rowOff>
                  </from>
                  <to>
                    <xdr:col>2</xdr:col>
                    <xdr:colOff>891540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Drop Down 3">
              <controlPr defaultSize="0" autoLine="0" autoPict="0">
                <anchor moveWithCells="1">
                  <from>
                    <xdr:col>3</xdr:col>
                    <xdr:colOff>7620</xdr:colOff>
                    <xdr:row>4</xdr:row>
                    <xdr:rowOff>30480</xdr:rowOff>
                  </from>
                  <to>
                    <xdr:col>3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7" name="Drop Down 6">
              <controlPr defaultSize="0" autoLine="0" autoPict="0">
                <anchor moveWithCells="1">
                  <from>
                    <xdr:col>4</xdr:col>
                    <xdr:colOff>7620</xdr:colOff>
                    <xdr:row>4</xdr:row>
                    <xdr:rowOff>30480</xdr:rowOff>
                  </from>
                  <to>
                    <xdr:col>4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1"/>
  <sheetViews>
    <sheetView showGridLines="0" workbookViewId="0"/>
  </sheetViews>
  <sheetFormatPr defaultRowHeight="14.4" x14ac:dyDescent="0.3"/>
  <cols>
    <col min="2" max="2" width="14.109375" customWidth="1"/>
    <col min="3" max="3" width="13.44140625" customWidth="1"/>
    <col min="4" max="5" width="13.33203125" customWidth="1"/>
    <col min="10" max="10" width="37.77734375" customWidth="1"/>
    <col min="11" max="12" width="13.21875" customWidth="1"/>
    <col min="13" max="13" width="23.6640625" customWidth="1"/>
    <col min="14" max="14" width="2.88671875" customWidth="1"/>
  </cols>
  <sheetData>
    <row r="1" spans="1:15" x14ac:dyDescent="0.3">
      <c r="A1" s="2" t="s">
        <v>33</v>
      </c>
    </row>
    <row r="2" spans="1:15" x14ac:dyDescent="0.3">
      <c r="B2" s="12"/>
      <c r="C2" s="12"/>
      <c r="D2" s="12"/>
      <c r="E2" s="12"/>
      <c r="F2" s="12"/>
      <c r="G2" s="13" t="s">
        <v>59</v>
      </c>
      <c r="H2" s="12"/>
      <c r="I2" s="12"/>
      <c r="J2" s="12"/>
      <c r="K2" s="12"/>
      <c r="L2" s="12"/>
      <c r="M2" s="12"/>
    </row>
    <row r="3" spans="1:15" x14ac:dyDescent="0.3">
      <c r="F3" s="352" t="s">
        <v>53</v>
      </c>
      <c r="G3" s="352"/>
      <c r="H3" s="352"/>
      <c r="I3" s="352"/>
    </row>
    <row r="4" spans="1:15" x14ac:dyDescent="0.3">
      <c r="B4" s="9" t="s">
        <v>46</v>
      </c>
      <c r="C4" s="9" t="s">
        <v>47</v>
      </c>
      <c r="D4" s="9" t="s">
        <v>48</v>
      </c>
      <c r="E4" s="9" t="s">
        <v>45</v>
      </c>
      <c r="F4" s="9" t="s">
        <v>49</v>
      </c>
      <c r="G4" s="9" t="s">
        <v>50</v>
      </c>
      <c r="H4" s="9" t="s">
        <v>51</v>
      </c>
      <c r="I4" s="9" t="s">
        <v>52</v>
      </c>
      <c r="J4" s="9" t="s">
        <v>41</v>
      </c>
      <c r="K4" s="9" t="s">
        <v>42</v>
      </c>
      <c r="L4" s="9" t="s">
        <v>104</v>
      </c>
      <c r="M4" s="9" t="s">
        <v>43</v>
      </c>
    </row>
    <row r="5" spans="1:15" x14ac:dyDescent="0.3">
      <c r="F5" s="3"/>
      <c r="G5" s="3"/>
      <c r="H5" s="3"/>
      <c r="I5" s="3"/>
      <c r="J5" s="3"/>
      <c r="O5" s="5" t="s">
        <v>44</v>
      </c>
    </row>
    <row r="8" spans="1:15" x14ac:dyDescent="0.3">
      <c r="B8" s="9" t="s">
        <v>46</v>
      </c>
      <c r="C8" s="9" t="s">
        <v>47</v>
      </c>
      <c r="D8" s="9" t="s">
        <v>48</v>
      </c>
      <c r="E8" s="9" t="s">
        <v>45</v>
      </c>
      <c r="F8" s="9" t="s">
        <v>49</v>
      </c>
      <c r="G8" s="9" t="s">
        <v>50</v>
      </c>
      <c r="H8" s="9" t="s">
        <v>51</v>
      </c>
      <c r="I8" s="9" t="s">
        <v>52</v>
      </c>
      <c r="J8" s="9" t="s">
        <v>41</v>
      </c>
      <c r="K8" s="9" t="s">
        <v>42</v>
      </c>
      <c r="L8" s="9" t="s">
        <v>104</v>
      </c>
      <c r="M8" s="9" t="s">
        <v>43</v>
      </c>
    </row>
    <row r="9" spans="1:15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t="s">
        <v>56</v>
      </c>
    </row>
    <row r="10" spans="1:15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t="s">
        <v>56</v>
      </c>
    </row>
    <row r="11" spans="1:15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t="s">
        <v>56</v>
      </c>
    </row>
    <row r="12" spans="1:15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t="s">
        <v>56</v>
      </c>
    </row>
    <row r="13" spans="1:15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t="s">
        <v>56</v>
      </c>
    </row>
    <row r="14" spans="1:15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t="s">
        <v>56</v>
      </c>
    </row>
    <row r="15" spans="1:15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t="s">
        <v>56</v>
      </c>
    </row>
    <row r="16" spans="1:15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t="s">
        <v>56</v>
      </c>
    </row>
    <row r="17" spans="2:14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t="s">
        <v>56</v>
      </c>
    </row>
    <row r="18" spans="2:14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t="s">
        <v>56</v>
      </c>
    </row>
    <row r="19" spans="2:14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t="s">
        <v>56</v>
      </c>
    </row>
    <row r="20" spans="2:14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t="s">
        <v>56</v>
      </c>
    </row>
    <row r="21" spans="2:14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t="s">
        <v>56</v>
      </c>
    </row>
  </sheetData>
  <mergeCells count="1">
    <mergeCell ref="F3:I3"/>
  </mergeCells>
  <hyperlinks>
    <hyperlink ref="A1" location="Menu!A1" display="menu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1</xdr:col>
                    <xdr:colOff>0</xdr:colOff>
                    <xdr:row>4</xdr:row>
                    <xdr:rowOff>30480</xdr:rowOff>
                  </from>
                  <to>
                    <xdr:col>1</xdr:col>
                    <xdr:colOff>876300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Drop Down 2">
              <controlPr defaultSize="0" autoLine="0" autoPict="0">
                <anchor moveWithCells="1">
                  <from>
                    <xdr:col>2</xdr:col>
                    <xdr:colOff>15240</xdr:colOff>
                    <xdr:row>4</xdr:row>
                    <xdr:rowOff>38100</xdr:rowOff>
                  </from>
                  <to>
                    <xdr:col>2</xdr:col>
                    <xdr:colOff>891540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Drop Down 3">
              <controlPr defaultSize="0" autoLine="0" autoPict="0">
                <anchor moveWithCells="1">
                  <from>
                    <xdr:col>3</xdr:col>
                    <xdr:colOff>7620</xdr:colOff>
                    <xdr:row>4</xdr:row>
                    <xdr:rowOff>30480</xdr:rowOff>
                  </from>
                  <to>
                    <xdr:col>3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Drop Down 4">
              <controlPr defaultSize="0" autoLine="0" autoPict="0">
                <anchor moveWithCells="1">
                  <from>
                    <xdr:col>10</xdr:col>
                    <xdr:colOff>22860</xdr:colOff>
                    <xdr:row>4</xdr:row>
                    <xdr:rowOff>22860</xdr:rowOff>
                  </from>
                  <to>
                    <xdr:col>10</xdr:col>
                    <xdr:colOff>899160</xdr:colOff>
                    <xdr:row>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Drop Down 5">
              <controlPr defaultSize="0" autoLine="0" autoPict="0">
                <anchor moveWithCells="1">
                  <from>
                    <xdr:col>12</xdr:col>
                    <xdr:colOff>22860</xdr:colOff>
                    <xdr:row>4</xdr:row>
                    <xdr:rowOff>30480</xdr:rowOff>
                  </from>
                  <to>
                    <xdr:col>13</xdr:col>
                    <xdr:colOff>30480</xdr:colOff>
                    <xdr:row>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Drop Down 6">
              <controlPr defaultSize="0" autoLine="0" autoPict="0">
                <anchor moveWithCells="1">
                  <from>
                    <xdr:col>4</xdr:col>
                    <xdr:colOff>7620</xdr:colOff>
                    <xdr:row>4</xdr:row>
                    <xdr:rowOff>30480</xdr:rowOff>
                  </from>
                  <to>
                    <xdr:col>4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3"/>
  <sheetViews>
    <sheetView showGridLines="0" workbookViewId="0"/>
  </sheetViews>
  <sheetFormatPr defaultRowHeight="14.4" x14ac:dyDescent="0.3"/>
  <cols>
    <col min="2" max="2" width="14.109375" customWidth="1"/>
    <col min="3" max="3" width="13.44140625" customWidth="1"/>
    <col min="4" max="5" width="13.33203125" customWidth="1"/>
    <col min="10" max="10" width="37.77734375" customWidth="1"/>
    <col min="11" max="12" width="13.21875" customWidth="1"/>
    <col min="13" max="13" width="23.6640625" customWidth="1"/>
    <col min="14" max="14" width="2.88671875" customWidth="1"/>
  </cols>
  <sheetData>
    <row r="1" spans="1:13" x14ac:dyDescent="0.3">
      <c r="A1" s="2" t="s">
        <v>33</v>
      </c>
    </row>
    <row r="2" spans="1:13" x14ac:dyDescent="0.3">
      <c r="B2" s="12"/>
      <c r="C2" s="12"/>
      <c r="D2" s="12"/>
      <c r="E2" s="12"/>
      <c r="F2" s="12"/>
      <c r="G2" s="13" t="s">
        <v>86</v>
      </c>
      <c r="H2" s="12"/>
      <c r="I2" s="12"/>
      <c r="J2" s="12"/>
      <c r="K2" s="12"/>
      <c r="L2" s="12"/>
      <c r="M2" s="12"/>
    </row>
    <row r="4" spans="1:13" x14ac:dyDescent="0.3">
      <c r="B4" s="9" t="s">
        <v>46</v>
      </c>
      <c r="C4" s="9" t="s">
        <v>47</v>
      </c>
      <c r="D4" s="9" t="s">
        <v>48</v>
      </c>
      <c r="E4" s="19" t="s">
        <v>45</v>
      </c>
      <c r="F4" s="14"/>
      <c r="G4" s="14"/>
      <c r="H4" s="14"/>
      <c r="I4" s="14"/>
      <c r="J4" s="14"/>
      <c r="K4" s="14"/>
      <c r="L4" s="14"/>
      <c r="M4" s="14"/>
    </row>
    <row r="5" spans="1:13" x14ac:dyDescent="0.3">
      <c r="F5" s="5" t="s">
        <v>44</v>
      </c>
      <c r="G5" s="14"/>
      <c r="H5" s="14"/>
      <c r="I5" s="14"/>
      <c r="J5" s="14"/>
      <c r="K5" s="14"/>
      <c r="L5" s="14"/>
      <c r="M5" s="14"/>
    </row>
    <row r="7" spans="1:13" x14ac:dyDescent="0.3">
      <c r="F7" s="353" t="s">
        <v>53</v>
      </c>
      <c r="G7" s="353"/>
      <c r="H7" s="353"/>
      <c r="I7" s="353"/>
    </row>
    <row r="8" spans="1:13" x14ac:dyDescent="0.3">
      <c r="B8" s="9" t="s">
        <v>46</v>
      </c>
      <c r="C8" s="9" t="s">
        <v>47</v>
      </c>
      <c r="D8" s="9" t="s">
        <v>48</v>
      </c>
      <c r="E8" s="9" t="s">
        <v>45</v>
      </c>
      <c r="F8" s="9" t="s">
        <v>49</v>
      </c>
      <c r="G8" s="9" t="s">
        <v>50</v>
      </c>
      <c r="H8" s="9" t="s">
        <v>51</v>
      </c>
      <c r="I8" s="9" t="s">
        <v>52</v>
      </c>
      <c r="J8" s="9" t="s">
        <v>41</v>
      </c>
      <c r="K8" s="9" t="s">
        <v>42</v>
      </c>
      <c r="L8" s="9" t="s">
        <v>104</v>
      </c>
      <c r="M8" s="9" t="s">
        <v>43</v>
      </c>
    </row>
    <row r="9" spans="1:13" x14ac:dyDescent="0.3">
      <c r="B9" s="353"/>
      <c r="C9" s="353"/>
      <c r="D9" s="353"/>
      <c r="E9" s="353"/>
      <c r="F9" s="7" t="s">
        <v>87</v>
      </c>
      <c r="G9" s="7" t="s">
        <v>87</v>
      </c>
      <c r="H9" s="7" t="s">
        <v>87</v>
      </c>
      <c r="I9" s="7" t="s">
        <v>87</v>
      </c>
      <c r="J9" s="353"/>
      <c r="K9" s="353"/>
      <c r="L9" s="77"/>
      <c r="M9" s="353"/>
    </row>
    <row r="10" spans="1:13" x14ac:dyDescent="0.3">
      <c r="B10" s="354"/>
      <c r="C10" s="354"/>
      <c r="D10" s="354"/>
      <c r="E10" s="354"/>
      <c r="F10" s="29" t="s">
        <v>80</v>
      </c>
      <c r="G10" s="29" t="s">
        <v>80</v>
      </c>
      <c r="H10" s="29" t="s">
        <v>80</v>
      </c>
      <c r="I10" s="29" t="s">
        <v>80</v>
      </c>
      <c r="J10" s="354"/>
      <c r="K10" s="354"/>
      <c r="L10" s="78"/>
      <c r="M10" s="354"/>
    </row>
    <row r="11" spans="1:13" x14ac:dyDescent="0.3">
      <c r="B11" s="353"/>
      <c r="C11" s="353"/>
      <c r="D11" s="353"/>
      <c r="E11" s="353"/>
      <c r="F11" s="7" t="s">
        <v>87</v>
      </c>
      <c r="G11" s="7" t="s">
        <v>87</v>
      </c>
      <c r="H11" s="7" t="s">
        <v>87</v>
      </c>
      <c r="I11" s="7" t="s">
        <v>87</v>
      </c>
      <c r="J11" s="353"/>
      <c r="K11" s="353"/>
      <c r="L11" s="77"/>
      <c r="M11" s="353"/>
    </row>
    <row r="12" spans="1:13" x14ac:dyDescent="0.3">
      <c r="B12" s="354"/>
      <c r="C12" s="354"/>
      <c r="D12" s="354"/>
      <c r="E12" s="354"/>
      <c r="F12" s="29" t="s">
        <v>80</v>
      </c>
      <c r="G12" s="29" t="s">
        <v>80</v>
      </c>
      <c r="H12" s="29" t="s">
        <v>80</v>
      </c>
      <c r="I12" s="29" t="s">
        <v>80</v>
      </c>
      <c r="J12" s="354"/>
      <c r="K12" s="354"/>
      <c r="L12" s="78"/>
      <c r="M12" s="354"/>
    </row>
    <row r="13" spans="1:13" x14ac:dyDescent="0.3">
      <c r="B13" s="353"/>
      <c r="C13" s="353"/>
      <c r="D13" s="353"/>
      <c r="E13" s="353"/>
      <c r="F13" s="7" t="s">
        <v>87</v>
      </c>
      <c r="G13" s="7" t="s">
        <v>87</v>
      </c>
      <c r="H13" s="7" t="s">
        <v>87</v>
      </c>
      <c r="I13" s="7" t="s">
        <v>87</v>
      </c>
      <c r="J13" s="353"/>
      <c r="K13" s="353"/>
      <c r="L13" s="77"/>
      <c r="M13" s="353"/>
    </row>
    <row r="14" spans="1:13" x14ac:dyDescent="0.3">
      <c r="B14" s="354"/>
      <c r="C14" s="354"/>
      <c r="D14" s="354"/>
      <c r="E14" s="354"/>
      <c r="F14" s="29" t="s">
        <v>80</v>
      </c>
      <c r="G14" s="29" t="s">
        <v>80</v>
      </c>
      <c r="H14" s="29" t="s">
        <v>80</v>
      </c>
      <c r="I14" s="29" t="s">
        <v>80</v>
      </c>
      <c r="J14" s="354"/>
      <c r="K14" s="354"/>
      <c r="L14" s="78"/>
      <c r="M14" s="354"/>
    </row>
    <row r="15" spans="1:13" x14ac:dyDescent="0.3">
      <c r="B15" s="353"/>
      <c r="C15" s="353"/>
      <c r="D15" s="353"/>
      <c r="E15" s="353"/>
      <c r="F15" s="7" t="s">
        <v>87</v>
      </c>
      <c r="G15" s="7" t="s">
        <v>87</v>
      </c>
      <c r="H15" s="7" t="s">
        <v>87</v>
      </c>
      <c r="I15" s="7" t="s">
        <v>87</v>
      </c>
      <c r="J15" s="353"/>
      <c r="K15" s="353"/>
      <c r="L15" s="77"/>
      <c r="M15" s="353"/>
    </row>
    <row r="16" spans="1:13" x14ac:dyDescent="0.3">
      <c r="B16" s="354"/>
      <c r="C16" s="354"/>
      <c r="D16" s="354"/>
      <c r="E16" s="354"/>
      <c r="F16" s="29" t="s">
        <v>80</v>
      </c>
      <c r="G16" s="29" t="s">
        <v>80</v>
      </c>
      <c r="H16" s="29" t="s">
        <v>80</v>
      </c>
      <c r="I16" s="29" t="s">
        <v>80</v>
      </c>
      <c r="J16" s="354"/>
      <c r="K16" s="354"/>
      <c r="L16" s="78"/>
      <c r="M16" s="354"/>
    </row>
    <row r="17" spans="2:13" x14ac:dyDescent="0.3">
      <c r="B17" s="353"/>
      <c r="C17" s="353"/>
      <c r="D17" s="353"/>
      <c r="E17" s="353"/>
      <c r="F17" s="7" t="s">
        <v>87</v>
      </c>
      <c r="G17" s="7" t="s">
        <v>87</v>
      </c>
      <c r="H17" s="7" t="s">
        <v>87</v>
      </c>
      <c r="I17" s="7" t="s">
        <v>87</v>
      </c>
      <c r="J17" s="353"/>
      <c r="K17" s="353"/>
      <c r="L17" s="77"/>
      <c r="M17" s="353"/>
    </row>
    <row r="18" spans="2:13" x14ac:dyDescent="0.3">
      <c r="B18" s="354"/>
      <c r="C18" s="354"/>
      <c r="D18" s="354"/>
      <c r="E18" s="354"/>
      <c r="F18" s="29" t="s">
        <v>80</v>
      </c>
      <c r="G18" s="29" t="s">
        <v>80</v>
      </c>
      <c r="H18" s="29" t="s">
        <v>80</v>
      </c>
      <c r="I18" s="29" t="s">
        <v>80</v>
      </c>
      <c r="J18" s="354"/>
      <c r="K18" s="354"/>
      <c r="L18" s="78"/>
      <c r="M18" s="354"/>
    </row>
    <row r="19" spans="2:13" x14ac:dyDescent="0.3">
      <c r="B19" s="353"/>
      <c r="C19" s="353"/>
      <c r="D19" s="353"/>
      <c r="E19" s="353"/>
      <c r="F19" s="7" t="s">
        <v>87</v>
      </c>
      <c r="G19" s="7" t="s">
        <v>87</v>
      </c>
      <c r="H19" s="7" t="s">
        <v>87</v>
      </c>
      <c r="I19" s="7" t="s">
        <v>87</v>
      </c>
      <c r="J19" s="353"/>
      <c r="K19" s="353"/>
      <c r="L19" s="77"/>
      <c r="M19" s="353"/>
    </row>
    <row r="20" spans="2:13" x14ac:dyDescent="0.3">
      <c r="B20" s="354"/>
      <c r="C20" s="354"/>
      <c r="D20" s="354"/>
      <c r="E20" s="354"/>
      <c r="F20" s="29" t="s">
        <v>80</v>
      </c>
      <c r="G20" s="29" t="s">
        <v>80</v>
      </c>
      <c r="H20" s="29" t="s">
        <v>80</v>
      </c>
      <c r="I20" s="29" t="s">
        <v>80</v>
      </c>
      <c r="J20" s="354"/>
      <c r="K20" s="354"/>
      <c r="L20" s="78"/>
      <c r="M20" s="354"/>
    </row>
    <row r="21" spans="2:13" x14ac:dyDescent="0.3">
      <c r="B21" s="353"/>
      <c r="C21" s="353"/>
      <c r="D21" s="353"/>
      <c r="E21" s="353"/>
      <c r="F21" s="7" t="s">
        <v>87</v>
      </c>
      <c r="G21" s="7" t="s">
        <v>87</v>
      </c>
      <c r="H21" s="7" t="s">
        <v>87</v>
      </c>
      <c r="I21" s="7" t="s">
        <v>87</v>
      </c>
      <c r="J21" s="353"/>
      <c r="K21" s="353"/>
      <c r="L21" s="77"/>
      <c r="M21" s="353"/>
    </row>
    <row r="22" spans="2:13" x14ac:dyDescent="0.3">
      <c r="B22" s="354"/>
      <c r="C22" s="354"/>
      <c r="D22" s="354"/>
      <c r="E22" s="354"/>
      <c r="F22" s="29" t="s">
        <v>80</v>
      </c>
      <c r="G22" s="29" t="s">
        <v>80</v>
      </c>
      <c r="H22" s="29" t="s">
        <v>80</v>
      </c>
      <c r="I22" s="29" t="s">
        <v>80</v>
      </c>
      <c r="J22" s="354"/>
      <c r="K22" s="354"/>
      <c r="L22" s="78"/>
      <c r="M22" s="354"/>
    </row>
    <row r="23" spans="2:13" x14ac:dyDescent="0.3">
      <c r="M23" s="30" t="s">
        <v>106</v>
      </c>
    </row>
  </sheetData>
  <mergeCells count="50">
    <mergeCell ref="M21:M22"/>
    <mergeCell ref="B21:B22"/>
    <mergeCell ref="C21:C22"/>
    <mergeCell ref="D21:D22"/>
    <mergeCell ref="E21:E22"/>
    <mergeCell ref="J21:J22"/>
    <mergeCell ref="K21:K22"/>
    <mergeCell ref="M17:M18"/>
    <mergeCell ref="B19:B20"/>
    <mergeCell ref="C19:C20"/>
    <mergeCell ref="D19:D20"/>
    <mergeCell ref="E19:E20"/>
    <mergeCell ref="J19:J20"/>
    <mergeCell ref="K19:K20"/>
    <mergeCell ref="M19:M20"/>
    <mergeCell ref="B17:B18"/>
    <mergeCell ref="C17:C18"/>
    <mergeCell ref="D17:D18"/>
    <mergeCell ref="E17:E18"/>
    <mergeCell ref="J17:J18"/>
    <mergeCell ref="K17:K18"/>
    <mergeCell ref="M13:M14"/>
    <mergeCell ref="B15:B16"/>
    <mergeCell ref="C15:C16"/>
    <mergeCell ref="D15:D16"/>
    <mergeCell ref="E15:E16"/>
    <mergeCell ref="J15:J16"/>
    <mergeCell ref="K15:K16"/>
    <mergeCell ref="M15:M16"/>
    <mergeCell ref="B13:B14"/>
    <mergeCell ref="C13:C14"/>
    <mergeCell ref="D13:D14"/>
    <mergeCell ref="E13:E14"/>
    <mergeCell ref="J13:J14"/>
    <mergeCell ref="K13:K14"/>
    <mergeCell ref="K9:K10"/>
    <mergeCell ref="M9:M10"/>
    <mergeCell ref="B11:B12"/>
    <mergeCell ref="C11:C12"/>
    <mergeCell ref="D11:D12"/>
    <mergeCell ref="E11:E12"/>
    <mergeCell ref="J11:J12"/>
    <mergeCell ref="K11:K12"/>
    <mergeCell ref="M11:M12"/>
    <mergeCell ref="J9:J10"/>
    <mergeCell ref="F7:I7"/>
    <mergeCell ref="B9:B10"/>
    <mergeCell ref="C9:C10"/>
    <mergeCell ref="D9:D10"/>
    <mergeCell ref="E9:E10"/>
  </mergeCells>
  <hyperlinks>
    <hyperlink ref="A1" location="Menu!A1" display="menu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Drop Down 1">
              <controlPr defaultSize="0" autoLine="0" autoPict="0">
                <anchor moveWithCells="1">
                  <from>
                    <xdr:col>1</xdr:col>
                    <xdr:colOff>0</xdr:colOff>
                    <xdr:row>4</xdr:row>
                    <xdr:rowOff>30480</xdr:rowOff>
                  </from>
                  <to>
                    <xdr:col>1</xdr:col>
                    <xdr:colOff>876300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Drop Down 2">
              <controlPr defaultSize="0" autoLine="0" autoPict="0">
                <anchor moveWithCells="1">
                  <from>
                    <xdr:col>2</xdr:col>
                    <xdr:colOff>15240</xdr:colOff>
                    <xdr:row>4</xdr:row>
                    <xdr:rowOff>38100</xdr:rowOff>
                  </from>
                  <to>
                    <xdr:col>2</xdr:col>
                    <xdr:colOff>891540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Drop Down 3">
              <controlPr defaultSize="0" autoLine="0" autoPict="0">
                <anchor moveWithCells="1">
                  <from>
                    <xdr:col>3</xdr:col>
                    <xdr:colOff>7620</xdr:colOff>
                    <xdr:row>4</xdr:row>
                    <xdr:rowOff>30480</xdr:rowOff>
                  </from>
                  <to>
                    <xdr:col>3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7" name="Drop Down 6">
              <controlPr defaultSize="0" autoLine="0" autoPict="0">
                <anchor moveWithCells="1">
                  <from>
                    <xdr:col>4</xdr:col>
                    <xdr:colOff>7620</xdr:colOff>
                    <xdr:row>4</xdr:row>
                    <xdr:rowOff>30480</xdr:rowOff>
                  </from>
                  <to>
                    <xdr:col>4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1"/>
  <sheetViews>
    <sheetView showGridLines="0" workbookViewId="0"/>
  </sheetViews>
  <sheetFormatPr defaultRowHeight="14.4" x14ac:dyDescent="0.3"/>
  <cols>
    <col min="2" max="2" width="14.109375" customWidth="1"/>
    <col min="3" max="3" width="13.44140625" customWidth="1"/>
    <col min="4" max="5" width="13.33203125" customWidth="1"/>
    <col min="10" max="10" width="37.77734375" customWidth="1"/>
    <col min="11" max="12" width="13.21875" customWidth="1"/>
    <col min="13" max="13" width="23.6640625" customWidth="1"/>
    <col min="14" max="14" width="2.88671875" customWidth="1"/>
  </cols>
  <sheetData>
    <row r="1" spans="1:13" x14ac:dyDescent="0.3">
      <c r="A1" s="2" t="s">
        <v>33</v>
      </c>
    </row>
    <row r="2" spans="1:13" x14ac:dyDescent="0.3">
      <c r="B2" s="12"/>
      <c r="C2" s="12"/>
      <c r="D2" s="12"/>
      <c r="E2" s="12"/>
      <c r="F2" s="12"/>
      <c r="G2" s="13" t="s">
        <v>90</v>
      </c>
      <c r="H2" s="12"/>
      <c r="I2" s="12"/>
      <c r="J2" s="12"/>
      <c r="K2" s="12"/>
      <c r="L2" s="12"/>
      <c r="M2" s="12"/>
    </row>
    <row r="4" spans="1:13" x14ac:dyDescent="0.3">
      <c r="B4" s="9" t="s">
        <v>46</v>
      </c>
      <c r="C4" s="9" t="s">
        <v>47</v>
      </c>
      <c r="D4" s="9" t="s">
        <v>48</v>
      </c>
      <c r="E4" s="19" t="s">
        <v>45</v>
      </c>
      <c r="F4" s="14"/>
      <c r="G4" s="14"/>
      <c r="H4" s="14"/>
      <c r="I4" s="14"/>
      <c r="J4" s="14"/>
      <c r="K4" s="14"/>
      <c r="L4" s="14"/>
      <c r="M4" s="14"/>
    </row>
    <row r="5" spans="1:13" x14ac:dyDescent="0.3">
      <c r="F5" s="5" t="s">
        <v>89</v>
      </c>
      <c r="G5" s="14"/>
      <c r="H5" s="14"/>
      <c r="I5" s="14"/>
      <c r="J5" s="14"/>
      <c r="K5" s="14"/>
      <c r="L5" s="14"/>
      <c r="M5" s="14"/>
    </row>
    <row r="6" spans="1:13" x14ac:dyDescent="0.3">
      <c r="M6" s="31" t="s">
        <v>82</v>
      </c>
    </row>
    <row r="7" spans="1:13" x14ac:dyDescent="0.3">
      <c r="F7" s="352" t="s">
        <v>53</v>
      </c>
      <c r="G7" s="352"/>
      <c r="H7" s="352"/>
      <c r="I7" s="352"/>
    </row>
    <row r="8" spans="1:13" x14ac:dyDescent="0.3">
      <c r="B8" s="9" t="s">
        <v>46</v>
      </c>
      <c r="C8" s="9" t="s">
        <v>47</v>
      </c>
      <c r="D8" s="9" t="s">
        <v>48</v>
      </c>
      <c r="E8" s="9" t="s">
        <v>45</v>
      </c>
      <c r="F8" s="9" t="s">
        <v>49</v>
      </c>
      <c r="G8" s="9" t="s">
        <v>50</v>
      </c>
      <c r="H8" s="9" t="s">
        <v>51</v>
      </c>
      <c r="I8" s="9" t="s">
        <v>52</v>
      </c>
      <c r="J8" s="9" t="s">
        <v>41</v>
      </c>
      <c r="K8" s="9" t="s">
        <v>42</v>
      </c>
      <c r="L8" s="9" t="s">
        <v>104</v>
      </c>
      <c r="M8" s="9" t="s">
        <v>43</v>
      </c>
    </row>
    <row r="9" spans="1:13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2:13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2:13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2:13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</sheetData>
  <mergeCells count="1">
    <mergeCell ref="F7:I7"/>
  </mergeCells>
  <hyperlinks>
    <hyperlink ref="A1" location="Menu!A1" display="menu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Drop Down 1">
              <controlPr defaultSize="0" autoLine="0" autoPict="0">
                <anchor moveWithCells="1">
                  <from>
                    <xdr:col>1</xdr:col>
                    <xdr:colOff>0</xdr:colOff>
                    <xdr:row>4</xdr:row>
                    <xdr:rowOff>30480</xdr:rowOff>
                  </from>
                  <to>
                    <xdr:col>1</xdr:col>
                    <xdr:colOff>876300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Drop Down 2">
              <controlPr defaultSize="0" autoLine="0" autoPict="0">
                <anchor moveWithCells="1">
                  <from>
                    <xdr:col>2</xdr:col>
                    <xdr:colOff>15240</xdr:colOff>
                    <xdr:row>4</xdr:row>
                    <xdr:rowOff>38100</xdr:rowOff>
                  </from>
                  <to>
                    <xdr:col>2</xdr:col>
                    <xdr:colOff>891540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6" name="Drop Down 3">
              <controlPr defaultSize="0" autoLine="0" autoPict="0">
                <anchor moveWithCells="1">
                  <from>
                    <xdr:col>3</xdr:col>
                    <xdr:colOff>7620</xdr:colOff>
                    <xdr:row>4</xdr:row>
                    <xdr:rowOff>30480</xdr:rowOff>
                  </from>
                  <to>
                    <xdr:col>3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7" name="Drop Down 6">
              <controlPr defaultSize="0" autoLine="0" autoPict="0">
                <anchor moveWithCells="1">
                  <from>
                    <xdr:col>4</xdr:col>
                    <xdr:colOff>7620</xdr:colOff>
                    <xdr:row>4</xdr:row>
                    <xdr:rowOff>30480</xdr:rowOff>
                  </from>
                  <to>
                    <xdr:col>4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41"/>
  <sheetViews>
    <sheetView showGridLines="0" zoomScale="85" zoomScaleNormal="85" workbookViewId="0"/>
  </sheetViews>
  <sheetFormatPr defaultRowHeight="14.4" x14ac:dyDescent="0.3"/>
  <cols>
    <col min="6" max="6" width="9.44140625" customWidth="1"/>
    <col min="9" max="9" width="9.88671875" customWidth="1"/>
  </cols>
  <sheetData>
    <row r="1" spans="1:15" x14ac:dyDescent="0.3">
      <c r="A1" s="2" t="s">
        <v>33</v>
      </c>
    </row>
    <row r="2" spans="1:15" x14ac:dyDescent="0.3">
      <c r="B2" s="40"/>
      <c r="C2" s="41"/>
      <c r="D2" s="41"/>
      <c r="E2" s="41"/>
      <c r="F2" s="41"/>
      <c r="G2" s="41" t="s">
        <v>107</v>
      </c>
      <c r="H2" s="41"/>
      <c r="I2" s="41"/>
      <c r="J2" s="41"/>
      <c r="K2" s="41"/>
      <c r="L2" s="41"/>
      <c r="M2" s="42"/>
    </row>
    <row r="3" spans="1:15" x14ac:dyDescent="0.3">
      <c r="B3" s="43"/>
      <c r="C3" s="44"/>
      <c r="D3" s="44"/>
      <c r="E3" s="44"/>
      <c r="F3" s="44"/>
      <c r="G3" s="44"/>
      <c r="H3" s="44"/>
      <c r="I3" s="44"/>
      <c r="J3" s="44"/>
      <c r="K3" s="44"/>
      <c r="L3" s="44"/>
      <c r="M3" s="45"/>
    </row>
    <row r="4" spans="1:15" ht="19.95" customHeight="1" x14ac:dyDescent="0.3">
      <c r="B4" s="46"/>
      <c r="C4" s="47" t="s">
        <v>91</v>
      </c>
      <c r="D4" s="21"/>
      <c r="E4" s="21"/>
      <c r="F4" s="21"/>
      <c r="G4" s="21"/>
      <c r="H4" s="21"/>
      <c r="I4" s="21"/>
      <c r="J4" s="21"/>
      <c r="K4" s="21"/>
      <c r="L4" s="21"/>
      <c r="M4" s="48"/>
    </row>
    <row r="5" spans="1:15" ht="19.95" customHeight="1" x14ac:dyDescent="0.3">
      <c r="B5" s="46"/>
      <c r="C5" s="47" t="s">
        <v>114</v>
      </c>
      <c r="D5" s="21"/>
      <c r="E5" s="21"/>
      <c r="F5" s="21"/>
      <c r="G5" s="21"/>
      <c r="H5" s="21" t="s">
        <v>400</v>
      </c>
      <c r="I5" s="21"/>
      <c r="J5" s="21"/>
      <c r="K5" s="21"/>
      <c r="L5" s="21"/>
      <c r="M5" s="48"/>
    </row>
    <row r="6" spans="1:15" ht="19.95" customHeight="1" x14ac:dyDescent="0.3">
      <c r="B6" s="46"/>
      <c r="C6" s="47" t="s">
        <v>108</v>
      </c>
      <c r="D6" s="21"/>
      <c r="E6" s="21"/>
      <c r="F6" s="21"/>
      <c r="G6" s="21"/>
      <c r="H6" s="21"/>
      <c r="I6" s="21"/>
      <c r="J6" s="28"/>
      <c r="K6" s="21"/>
      <c r="L6" s="21"/>
      <c r="M6" s="48"/>
    </row>
    <row r="7" spans="1:15" ht="19.95" customHeight="1" x14ac:dyDescent="0.3">
      <c r="B7" s="46"/>
      <c r="C7" s="47" t="s">
        <v>122</v>
      </c>
      <c r="D7" s="21"/>
      <c r="E7" s="21"/>
      <c r="F7" s="21"/>
      <c r="G7" s="21" t="s">
        <v>109</v>
      </c>
      <c r="H7" s="21"/>
      <c r="I7" s="21"/>
      <c r="J7" s="28"/>
      <c r="K7" s="21"/>
      <c r="L7" s="21"/>
      <c r="M7" s="48"/>
    </row>
    <row r="8" spans="1:15" ht="19.95" customHeight="1" x14ac:dyDescent="0.3">
      <c r="B8" s="46"/>
      <c r="C8" s="47" t="s">
        <v>34</v>
      </c>
      <c r="D8" s="21"/>
      <c r="E8" s="21"/>
      <c r="F8" s="21"/>
      <c r="G8" s="47" t="s">
        <v>35</v>
      </c>
      <c r="H8" s="21"/>
      <c r="I8" s="21"/>
      <c r="J8" s="21"/>
      <c r="K8" s="21"/>
      <c r="L8" s="21"/>
      <c r="M8" s="48"/>
    </row>
    <row r="9" spans="1:15" x14ac:dyDescent="0.3">
      <c r="B9" s="46"/>
      <c r="C9" s="47"/>
      <c r="D9" s="21"/>
      <c r="E9" s="21"/>
      <c r="F9" s="21"/>
      <c r="G9" s="21"/>
      <c r="H9" s="21"/>
      <c r="I9" s="21"/>
      <c r="J9" s="21"/>
      <c r="K9" s="21"/>
      <c r="L9" s="21"/>
      <c r="M9" s="48"/>
    </row>
    <row r="10" spans="1:15" x14ac:dyDescent="0.3">
      <c r="B10" s="46"/>
      <c r="C10" s="47" t="s">
        <v>442</v>
      </c>
      <c r="D10" s="21"/>
      <c r="E10" s="21"/>
      <c r="F10" s="21"/>
      <c r="G10" s="21"/>
      <c r="H10" s="21" t="s">
        <v>443</v>
      </c>
      <c r="I10" s="21"/>
      <c r="J10" s="21"/>
      <c r="K10" s="21"/>
      <c r="L10" s="21" t="s">
        <v>530</v>
      </c>
      <c r="M10" s="21"/>
    </row>
    <row r="11" spans="1:15" x14ac:dyDescent="0.3">
      <c r="B11" s="46"/>
      <c r="C11" s="47" t="s">
        <v>93</v>
      </c>
      <c r="D11" s="21"/>
      <c r="E11" s="21"/>
      <c r="F11" s="21"/>
      <c r="G11" s="49" t="s">
        <v>94</v>
      </c>
      <c r="H11" s="35"/>
      <c r="I11" s="36"/>
      <c r="J11" s="36"/>
      <c r="K11" s="14"/>
      <c r="L11" s="14"/>
      <c r="M11" s="14"/>
    </row>
    <row r="12" spans="1:15" x14ac:dyDescent="0.3">
      <c r="B12" s="46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48"/>
    </row>
    <row r="13" spans="1:15" x14ac:dyDescent="0.3">
      <c r="B13" s="46"/>
      <c r="C13" s="49" t="s">
        <v>95</v>
      </c>
      <c r="D13" s="20"/>
      <c r="E13" s="33"/>
      <c r="F13" s="33"/>
      <c r="G13" s="33"/>
      <c r="H13" s="34"/>
      <c r="I13" s="21"/>
      <c r="J13" s="21"/>
      <c r="K13" s="21"/>
      <c r="L13" s="21"/>
      <c r="M13" s="48"/>
    </row>
    <row r="14" spans="1:15" x14ac:dyDescent="0.3">
      <c r="B14" s="46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48"/>
      <c r="O14" t="s">
        <v>386</v>
      </c>
    </row>
    <row r="15" spans="1:15" x14ac:dyDescent="0.3">
      <c r="B15" s="46"/>
      <c r="C15" s="21" t="s">
        <v>96</v>
      </c>
      <c r="D15" s="21"/>
      <c r="E15" s="21"/>
      <c r="F15" s="21"/>
      <c r="G15" s="21"/>
      <c r="H15" s="21"/>
      <c r="I15" s="21"/>
      <c r="J15" s="21"/>
      <c r="K15" s="21"/>
      <c r="L15" s="21"/>
      <c r="M15" s="48"/>
    </row>
    <row r="16" spans="1:15" x14ac:dyDescent="0.3">
      <c r="B16" s="46"/>
      <c r="C16" s="37" t="s">
        <v>453</v>
      </c>
      <c r="D16" s="21"/>
      <c r="E16" s="21"/>
      <c r="F16" s="21"/>
      <c r="G16" s="21" t="s">
        <v>749</v>
      </c>
      <c r="H16" s="21"/>
      <c r="I16" s="21"/>
      <c r="J16" s="21"/>
      <c r="K16" s="21"/>
      <c r="L16" s="21"/>
      <c r="M16" s="48"/>
    </row>
    <row r="17" spans="2:21" x14ac:dyDescent="0.3">
      <c r="B17" s="46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48"/>
      <c r="Q17" s="6" t="s">
        <v>431</v>
      </c>
      <c r="R17" s="123"/>
      <c r="T17" s="6" t="s">
        <v>432</v>
      </c>
      <c r="U17" s="123"/>
    </row>
    <row r="18" spans="2:21" x14ac:dyDescent="0.3">
      <c r="B18" s="46"/>
      <c r="C18" s="49" t="s">
        <v>387</v>
      </c>
      <c r="D18" s="113" t="s">
        <v>37</v>
      </c>
      <c r="E18" s="113" t="s">
        <v>40</v>
      </c>
      <c r="F18" s="113" t="s">
        <v>38</v>
      </c>
      <c r="G18" s="113" t="s">
        <v>39</v>
      </c>
      <c r="H18" s="125" t="s">
        <v>389</v>
      </c>
      <c r="I18" s="4" t="s">
        <v>388</v>
      </c>
      <c r="J18" s="21"/>
      <c r="K18" s="21"/>
      <c r="L18" s="21"/>
      <c r="M18" s="48"/>
      <c r="Q18" t="s">
        <v>401</v>
      </c>
      <c r="T18" t="s">
        <v>401</v>
      </c>
    </row>
    <row r="19" spans="2:21" x14ac:dyDescent="0.3">
      <c r="B19" s="46"/>
      <c r="C19" s="21"/>
      <c r="D19" s="3"/>
      <c r="E19" s="3"/>
      <c r="F19" s="3"/>
      <c r="G19" s="3"/>
      <c r="H19" s="3"/>
      <c r="I19" s="3"/>
      <c r="J19" s="21"/>
      <c r="K19" s="21"/>
      <c r="L19" s="21"/>
      <c r="M19" s="48"/>
      <c r="Q19" t="s">
        <v>402</v>
      </c>
      <c r="T19" t="s">
        <v>406</v>
      </c>
    </row>
    <row r="20" spans="2:21" x14ac:dyDescent="0.3">
      <c r="B20" s="46"/>
      <c r="C20" s="49" t="s">
        <v>99</v>
      </c>
      <c r="D20" s="3"/>
      <c r="E20" s="3"/>
      <c r="F20" s="3"/>
      <c r="G20" s="3"/>
      <c r="H20" s="3"/>
      <c r="I20" s="3"/>
      <c r="J20" s="21" t="s">
        <v>506</v>
      </c>
      <c r="K20" s="21"/>
      <c r="L20" s="21"/>
      <c r="M20" s="48"/>
      <c r="Q20" t="s">
        <v>403</v>
      </c>
      <c r="T20" t="s">
        <v>407</v>
      </c>
    </row>
    <row r="21" spans="2:21" x14ac:dyDescent="0.3">
      <c r="B21" s="46"/>
      <c r="C21" s="37" t="s">
        <v>103</v>
      </c>
      <c r="D21" s="3"/>
      <c r="E21" s="3"/>
      <c r="F21" s="3"/>
      <c r="G21" s="3"/>
      <c r="H21" s="3"/>
      <c r="I21" s="3"/>
      <c r="J21" s="21"/>
      <c r="K21" s="21"/>
      <c r="L21" s="21"/>
      <c r="M21" s="48"/>
      <c r="Q21" t="s">
        <v>92</v>
      </c>
      <c r="T21" t="s">
        <v>408</v>
      </c>
    </row>
    <row r="22" spans="2:21" x14ac:dyDescent="0.3">
      <c r="B22" s="46"/>
      <c r="C22" s="49" t="s">
        <v>100</v>
      </c>
      <c r="D22" s="3"/>
      <c r="E22" s="3"/>
      <c r="F22" s="3"/>
      <c r="G22" s="3"/>
      <c r="H22" s="3"/>
      <c r="I22" s="3"/>
      <c r="J22" s="21"/>
      <c r="K22" s="21"/>
      <c r="L22" s="21"/>
      <c r="M22" s="48"/>
      <c r="Q22" t="s">
        <v>404</v>
      </c>
      <c r="T22" t="s">
        <v>409</v>
      </c>
    </row>
    <row r="23" spans="2:21" x14ac:dyDescent="0.3">
      <c r="B23" s="46"/>
      <c r="C23" s="49" t="s">
        <v>101</v>
      </c>
      <c r="D23" s="21"/>
      <c r="E23" s="21"/>
      <c r="F23" s="21"/>
      <c r="G23" s="21"/>
      <c r="H23" s="21"/>
      <c r="I23" s="21"/>
      <c r="J23" s="21"/>
      <c r="K23" s="21"/>
      <c r="L23" s="21"/>
      <c r="M23" s="48"/>
      <c r="Q23" t="s">
        <v>34</v>
      </c>
      <c r="T23" t="s">
        <v>410</v>
      </c>
    </row>
    <row r="24" spans="2:21" x14ac:dyDescent="0.3">
      <c r="B24" s="46"/>
      <c r="C24" s="49" t="s">
        <v>102</v>
      </c>
      <c r="D24" s="21"/>
      <c r="E24" s="21"/>
      <c r="F24" s="21"/>
      <c r="G24" s="21"/>
      <c r="H24" s="21"/>
      <c r="I24" s="21"/>
      <c r="J24" s="21"/>
      <c r="K24" s="21"/>
      <c r="L24" s="21"/>
      <c r="M24" s="48"/>
      <c r="Q24" t="s">
        <v>35</v>
      </c>
      <c r="T24" t="s">
        <v>411</v>
      </c>
    </row>
    <row r="25" spans="2:21" x14ac:dyDescent="0.3">
      <c r="B25" s="46"/>
      <c r="C25" s="37" t="s">
        <v>104</v>
      </c>
      <c r="D25" s="20"/>
      <c r="E25" s="33"/>
      <c r="F25" s="33"/>
      <c r="G25" s="33"/>
      <c r="H25" s="33"/>
      <c r="I25" s="34"/>
      <c r="J25" s="21"/>
      <c r="K25" s="21"/>
      <c r="L25" s="21"/>
      <c r="M25" s="48"/>
      <c r="Q25" t="s">
        <v>444</v>
      </c>
      <c r="T25" t="s">
        <v>414</v>
      </c>
    </row>
    <row r="26" spans="2:21" x14ac:dyDescent="0.3">
      <c r="B26" s="46"/>
      <c r="C26" s="37" t="s">
        <v>105</v>
      </c>
      <c r="D26" s="21"/>
      <c r="E26" s="21"/>
      <c r="F26" s="21"/>
      <c r="G26" s="21"/>
      <c r="H26" s="21"/>
      <c r="I26" s="21"/>
      <c r="J26" s="21"/>
      <c r="K26" s="21"/>
      <c r="L26" s="21"/>
      <c r="M26" s="48"/>
      <c r="Q26" t="s">
        <v>115</v>
      </c>
      <c r="T26" t="s">
        <v>415</v>
      </c>
    </row>
    <row r="27" spans="2:21" ht="19.8" customHeight="1" x14ac:dyDescent="0.3">
      <c r="B27" s="46"/>
      <c r="C27" s="144" t="s">
        <v>476</v>
      </c>
      <c r="D27" s="21"/>
      <c r="E27" s="21"/>
      <c r="F27" s="21"/>
      <c r="G27" s="21"/>
      <c r="H27" s="21" t="s">
        <v>504</v>
      </c>
      <c r="I27" s="21"/>
      <c r="J27" s="21"/>
      <c r="K27" s="21"/>
      <c r="L27" s="21"/>
      <c r="M27" s="48"/>
      <c r="Q27" t="s">
        <v>405</v>
      </c>
      <c r="T27" t="s">
        <v>416</v>
      </c>
    </row>
    <row r="28" spans="2:21" x14ac:dyDescent="0.3">
      <c r="B28" s="46"/>
      <c r="C28" s="37" t="s">
        <v>172</v>
      </c>
      <c r="D28" s="20"/>
      <c r="E28" s="33"/>
      <c r="F28" s="33"/>
      <c r="G28" s="34"/>
      <c r="H28" s="21"/>
      <c r="J28" s="21"/>
      <c r="K28" s="21"/>
      <c r="L28" s="21"/>
      <c r="M28" s="48"/>
      <c r="Q28" t="s">
        <v>96</v>
      </c>
      <c r="T28" t="s">
        <v>417</v>
      </c>
    </row>
    <row r="29" spans="2:21" x14ac:dyDescent="0.3">
      <c r="B29" s="46"/>
      <c r="C29" s="21"/>
      <c r="D29" s="21"/>
      <c r="E29" s="21"/>
      <c r="F29" s="21"/>
      <c r="G29" s="21"/>
      <c r="H29" s="21"/>
      <c r="I29" s="39" t="s">
        <v>106</v>
      </c>
      <c r="J29" s="21"/>
      <c r="K29" s="21"/>
      <c r="L29" s="21"/>
      <c r="M29" s="48"/>
      <c r="Q29" t="s">
        <v>584</v>
      </c>
      <c r="T29" t="s">
        <v>418</v>
      </c>
    </row>
    <row r="30" spans="2:21" x14ac:dyDescent="0.3">
      <c r="B30" s="50"/>
      <c r="C30" s="1"/>
      <c r="D30" s="1"/>
      <c r="E30" s="1"/>
      <c r="F30" s="1"/>
      <c r="G30" s="1"/>
      <c r="H30" s="1"/>
      <c r="I30" s="1"/>
      <c r="J30" s="1"/>
      <c r="K30" s="1"/>
      <c r="L30" s="1"/>
      <c r="M30" s="51"/>
      <c r="Q30" t="s">
        <v>412</v>
      </c>
      <c r="T30" t="s">
        <v>419</v>
      </c>
    </row>
    <row r="31" spans="2:21" x14ac:dyDescent="0.3">
      <c r="Q31" t="s">
        <v>413</v>
      </c>
      <c r="T31" t="s">
        <v>420</v>
      </c>
    </row>
    <row r="32" spans="2:21" x14ac:dyDescent="0.3">
      <c r="Q32" t="s">
        <v>104</v>
      </c>
      <c r="T32" t="s">
        <v>421</v>
      </c>
    </row>
    <row r="33" spans="2:20" x14ac:dyDescent="0.3">
      <c r="B33" s="54" t="s">
        <v>505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Q33" t="s">
        <v>110</v>
      </c>
      <c r="T33" t="s">
        <v>422</v>
      </c>
    </row>
    <row r="34" spans="2:20" x14ac:dyDescent="0.3">
      <c r="B34" s="54" t="s">
        <v>502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T34" t="s">
        <v>423</v>
      </c>
    </row>
    <row r="35" spans="2:20" x14ac:dyDescent="0.3">
      <c r="B35" s="54" t="s">
        <v>475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T35" t="s">
        <v>424</v>
      </c>
    </row>
    <row r="36" spans="2:20" x14ac:dyDescent="0.3"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T36" t="s">
        <v>425</v>
      </c>
    </row>
    <row r="37" spans="2:20" x14ac:dyDescent="0.3">
      <c r="B37" s="54" t="s">
        <v>477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T37" t="s">
        <v>426</v>
      </c>
    </row>
    <row r="38" spans="2:20" x14ac:dyDescent="0.3"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T38" t="s">
        <v>427</v>
      </c>
    </row>
    <row r="39" spans="2:20" x14ac:dyDescent="0.3">
      <c r="T39" t="s">
        <v>428</v>
      </c>
    </row>
    <row r="40" spans="2:20" x14ac:dyDescent="0.3">
      <c r="T40" t="s">
        <v>429</v>
      </c>
    </row>
    <row r="41" spans="2:20" x14ac:dyDescent="0.3">
      <c r="T41" t="s">
        <v>430</v>
      </c>
    </row>
  </sheetData>
  <hyperlinks>
    <hyperlink ref="A1" location="Menu!A1" display="menu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6" r:id="rId4" name="Drop Down 2">
              <controlPr defaultSize="0" autoLine="0" autoPict="0">
                <anchor moveWithCells="1">
                  <from>
                    <xdr:col>3</xdr:col>
                    <xdr:colOff>7620</xdr:colOff>
                    <xdr:row>3</xdr:row>
                    <xdr:rowOff>53340</xdr:rowOff>
                  </from>
                  <to>
                    <xdr:col>5</xdr:col>
                    <xdr:colOff>205740</xdr:colOff>
                    <xdr:row>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5" name="Drop Down 3">
              <controlPr defaultSize="0" autoLine="0" autoPict="0">
                <anchor moveWithCells="1">
                  <from>
                    <xdr:col>3</xdr:col>
                    <xdr:colOff>22860</xdr:colOff>
                    <xdr:row>7</xdr:row>
                    <xdr:rowOff>45720</xdr:rowOff>
                  </from>
                  <to>
                    <xdr:col>5</xdr:col>
                    <xdr:colOff>297180</xdr:colOff>
                    <xdr:row>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6" name="Drop Down 4">
              <controlPr defaultSize="0" autoLine="0" autoPict="0">
                <anchor moveWithCells="1">
                  <from>
                    <xdr:col>7</xdr:col>
                    <xdr:colOff>60960</xdr:colOff>
                    <xdr:row>7</xdr:row>
                    <xdr:rowOff>30480</xdr:rowOff>
                  </from>
                  <to>
                    <xdr:col>9</xdr:col>
                    <xdr:colOff>266700</xdr:colOff>
                    <xdr:row>7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5" r:id="rId7" name="Drop Down 1">
              <controlPr defaultSize="0" autoLine="0" autoPict="0">
                <anchor moveWithCells="1">
                  <from>
                    <xdr:col>3</xdr:col>
                    <xdr:colOff>22860</xdr:colOff>
                    <xdr:row>5</xdr:row>
                    <xdr:rowOff>83820</xdr:rowOff>
                  </from>
                  <to>
                    <xdr:col>8</xdr:col>
                    <xdr:colOff>137160</xdr:colOff>
                    <xdr:row>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8" name="Drop Down 5">
              <controlPr defaultSize="0" autoLine="0" autoPict="0">
                <anchor moveWithCells="1">
                  <from>
                    <xdr:col>3</xdr:col>
                    <xdr:colOff>7620</xdr:colOff>
                    <xdr:row>10</xdr:row>
                    <xdr:rowOff>15240</xdr:rowOff>
                  </from>
                  <to>
                    <xdr:col>5</xdr:col>
                    <xdr:colOff>297180</xdr:colOff>
                    <xdr:row>11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9" name="Drop Down 6">
              <controlPr defaultSize="0" autoLine="0" autoPict="0">
                <anchor moveWithCells="1">
                  <from>
                    <xdr:col>3</xdr:col>
                    <xdr:colOff>7620</xdr:colOff>
                    <xdr:row>13</xdr:row>
                    <xdr:rowOff>99060</xdr:rowOff>
                  </from>
                  <to>
                    <xdr:col>5</xdr:col>
                    <xdr:colOff>228600</xdr:colOff>
                    <xdr:row>14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r:id="rId10" name="Drop Down 8">
              <controlPr defaultSize="0" autoLine="0" autoPict="0">
                <anchor moveWithCells="1">
                  <from>
                    <xdr:col>3</xdr:col>
                    <xdr:colOff>15240</xdr:colOff>
                    <xdr:row>18</xdr:row>
                    <xdr:rowOff>175260</xdr:rowOff>
                  </from>
                  <to>
                    <xdr:col>4</xdr:col>
                    <xdr:colOff>7620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3" r:id="rId11" name="Drop Down 9">
              <controlPr defaultSize="0" autoLine="0" autoPict="0">
                <anchor moveWithCells="1">
                  <from>
                    <xdr:col>4</xdr:col>
                    <xdr:colOff>15240</xdr:colOff>
                    <xdr:row>18</xdr:row>
                    <xdr:rowOff>175260</xdr:rowOff>
                  </from>
                  <to>
                    <xdr:col>5</xdr:col>
                    <xdr:colOff>7620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r:id="rId12" name="Drop Down 10">
              <controlPr defaultSize="0" autoLine="0" autoPict="0">
                <anchor moveWithCells="1">
                  <from>
                    <xdr:col>5</xdr:col>
                    <xdr:colOff>22860</xdr:colOff>
                    <xdr:row>18</xdr:row>
                    <xdr:rowOff>167640</xdr:rowOff>
                  </from>
                  <to>
                    <xdr:col>5</xdr:col>
                    <xdr:colOff>624840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5" r:id="rId13" name="Drop Down 11">
              <controlPr defaultSize="0" autoLine="0" autoPict="0">
                <anchor moveWithCells="1">
                  <from>
                    <xdr:col>6</xdr:col>
                    <xdr:colOff>22860</xdr:colOff>
                    <xdr:row>18</xdr:row>
                    <xdr:rowOff>167640</xdr:rowOff>
                  </from>
                  <to>
                    <xdr:col>7</xdr:col>
                    <xdr:colOff>15240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6" r:id="rId14" name="Drop Down 12">
              <controlPr defaultSize="0" autoLine="0" autoPict="0">
                <anchor moveWithCells="1">
                  <from>
                    <xdr:col>7</xdr:col>
                    <xdr:colOff>30480</xdr:colOff>
                    <xdr:row>18</xdr:row>
                    <xdr:rowOff>167640</xdr:rowOff>
                  </from>
                  <to>
                    <xdr:col>8</xdr:col>
                    <xdr:colOff>22860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7" r:id="rId15" name="Drop Down 13">
              <controlPr defaultSize="0" autoLine="0" autoPict="0">
                <anchor moveWithCells="1">
                  <from>
                    <xdr:col>8</xdr:col>
                    <xdr:colOff>45720</xdr:colOff>
                    <xdr:row>19</xdr:row>
                    <xdr:rowOff>0</xdr:rowOff>
                  </from>
                  <to>
                    <xdr:col>8</xdr:col>
                    <xdr:colOff>647700</xdr:colOff>
                    <xdr:row>20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8" r:id="rId16" name="Drop Down 14">
              <controlPr defaultSize="0" autoLine="0" autoPict="0">
                <anchor moveWithCells="1">
                  <from>
                    <xdr:col>3</xdr:col>
                    <xdr:colOff>0</xdr:colOff>
                    <xdr:row>22</xdr:row>
                    <xdr:rowOff>7620</xdr:rowOff>
                  </from>
                  <to>
                    <xdr:col>3</xdr:col>
                    <xdr:colOff>601980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9" r:id="rId17" name="Drop Down 15">
              <controlPr defaultSize="0" autoLine="0" autoPict="0">
                <anchor moveWithCells="1">
                  <from>
                    <xdr:col>3</xdr:col>
                    <xdr:colOff>0</xdr:colOff>
                    <xdr:row>23</xdr:row>
                    <xdr:rowOff>7620</xdr:rowOff>
                  </from>
                  <to>
                    <xdr:col>3</xdr:col>
                    <xdr:colOff>601980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0" r:id="rId18" name="Drop Down 16">
              <controlPr defaultSize="0" autoLine="0" autoPict="0">
                <anchor moveWithCells="1">
                  <from>
                    <xdr:col>3</xdr:col>
                    <xdr:colOff>0</xdr:colOff>
                    <xdr:row>25</xdr:row>
                    <xdr:rowOff>7620</xdr:rowOff>
                  </from>
                  <to>
                    <xdr:col>6</xdr:col>
                    <xdr:colOff>594360</xdr:colOff>
                    <xdr:row>26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1" r:id="rId19" name="Drop Down 17">
              <controlPr defaultSize="0" autoLine="0" autoPict="0">
                <anchor moveWithCells="1">
                  <from>
                    <xdr:col>3</xdr:col>
                    <xdr:colOff>22860</xdr:colOff>
                    <xdr:row>6</xdr:row>
                    <xdr:rowOff>45720</xdr:rowOff>
                  </from>
                  <to>
                    <xdr:col>5</xdr:col>
                    <xdr:colOff>297180</xdr:colOff>
                    <xdr:row>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2" r:id="rId20" name="Button 18">
              <controlPr defaultSize="0" print="0" autoFill="0" autoPict="0" macro="[0]!ADD">
                <anchor moveWithCells="1">
                  <from>
                    <xdr:col>5</xdr:col>
                    <xdr:colOff>312420</xdr:colOff>
                    <xdr:row>10</xdr:row>
                    <xdr:rowOff>22860</xdr:rowOff>
                  </from>
                  <to>
                    <xdr:col>6</xdr:col>
                    <xdr:colOff>251460</xdr:colOff>
                    <xdr:row>11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3" r:id="rId21" name="Button 19">
              <controlPr defaultSize="0" print="0" autoFill="0" autoPict="0" macro="[0]!ADD">
                <anchor moveWithCells="1">
                  <from>
                    <xdr:col>8</xdr:col>
                    <xdr:colOff>236220</xdr:colOff>
                    <xdr:row>5</xdr:row>
                    <xdr:rowOff>68580</xdr:rowOff>
                  </from>
                  <to>
                    <xdr:col>9</xdr:col>
                    <xdr:colOff>144780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4" r:id="rId22" name="Drop Down 20">
              <controlPr defaultSize="0" autoLine="0" autoPict="0">
                <anchor moveWithCells="1">
                  <from>
                    <xdr:col>3</xdr:col>
                    <xdr:colOff>7620</xdr:colOff>
                    <xdr:row>4</xdr:row>
                    <xdr:rowOff>53340</xdr:rowOff>
                  </from>
                  <to>
                    <xdr:col>5</xdr:col>
                    <xdr:colOff>205740</xdr:colOff>
                    <xdr:row>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5" r:id="rId23" name="Drop Down 21">
              <controlPr defaultSize="0" autoLine="0" autoPict="0">
                <anchor moveWithCells="1">
                  <from>
                    <xdr:col>3</xdr:col>
                    <xdr:colOff>15240</xdr:colOff>
                    <xdr:row>15</xdr:row>
                    <xdr:rowOff>7620</xdr:rowOff>
                  </from>
                  <to>
                    <xdr:col>5</xdr:col>
                    <xdr:colOff>236220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6" r:id="rId24" name="Drop Down 22">
              <controlPr defaultSize="0" autoLine="0" autoPict="0">
                <anchor moveWithCells="1">
                  <from>
                    <xdr:col>3</xdr:col>
                    <xdr:colOff>7620</xdr:colOff>
                    <xdr:row>8</xdr:row>
                    <xdr:rowOff>160020</xdr:rowOff>
                  </from>
                  <to>
                    <xdr:col>5</xdr:col>
                    <xdr:colOff>297180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7" r:id="rId25" name="Drop Down 23">
              <controlPr defaultSize="0" autoLine="0" autoPict="0">
                <anchor moveWithCells="1">
                  <from>
                    <xdr:col>3</xdr:col>
                    <xdr:colOff>0</xdr:colOff>
                    <xdr:row>26</xdr:row>
                    <xdr:rowOff>7620</xdr:rowOff>
                  </from>
                  <to>
                    <xdr:col>6</xdr:col>
                    <xdr:colOff>594360</xdr:colOff>
                    <xdr:row>26</xdr:row>
                    <xdr:rowOff>198120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2"/>
  <sheetViews>
    <sheetView showGridLines="0" workbookViewId="0"/>
  </sheetViews>
  <sheetFormatPr defaultRowHeight="14.4" x14ac:dyDescent="0.3"/>
  <cols>
    <col min="2" max="2" width="4.6640625" customWidth="1"/>
    <col min="3" max="3" width="10.88671875" customWidth="1"/>
    <col min="6" max="6" width="10.44140625" bestFit="1" customWidth="1"/>
    <col min="7" max="7" width="12.88671875" bestFit="1" customWidth="1"/>
    <col min="8" max="8" width="9.77734375" bestFit="1" customWidth="1"/>
    <col min="10" max="10" width="17.33203125" bestFit="1" customWidth="1"/>
    <col min="11" max="11" width="9.33203125" bestFit="1" customWidth="1"/>
    <col min="12" max="13" width="11.5546875" bestFit="1" customWidth="1"/>
    <col min="14" max="14" width="6.44140625" bestFit="1" customWidth="1"/>
    <col min="15" max="15" width="5.88671875" customWidth="1"/>
    <col min="16" max="16" width="6.21875" customWidth="1"/>
    <col min="18" max="18" width="6.109375" bestFit="1" customWidth="1"/>
    <col min="19" max="19" width="13.21875" bestFit="1" customWidth="1"/>
  </cols>
  <sheetData>
    <row r="1" spans="1:19" x14ac:dyDescent="0.3">
      <c r="A1" s="2" t="s">
        <v>33</v>
      </c>
    </row>
    <row r="2" spans="1:19" x14ac:dyDescent="0.3">
      <c r="C2" s="40"/>
      <c r="D2" s="41"/>
      <c r="E2" s="41"/>
      <c r="F2" s="41"/>
      <c r="G2" s="41"/>
      <c r="H2" s="41"/>
      <c r="I2" s="41"/>
      <c r="J2" s="41" t="s">
        <v>391</v>
      </c>
      <c r="K2" s="41"/>
      <c r="L2" s="41"/>
      <c r="M2" s="41"/>
      <c r="N2" s="41"/>
      <c r="O2" s="42"/>
    </row>
    <row r="4" spans="1:19" x14ac:dyDescent="0.3">
      <c r="G4" s="32"/>
    </row>
    <row r="5" spans="1:19" x14ac:dyDescent="0.3">
      <c r="N5" s="3" t="s">
        <v>55</v>
      </c>
      <c r="O5" s="33"/>
      <c r="P5" s="33"/>
      <c r="Q5" s="33"/>
      <c r="R5" s="33"/>
      <c r="S5" s="34"/>
    </row>
    <row r="6" spans="1:19" x14ac:dyDescent="0.3">
      <c r="C6" s="6" t="s">
        <v>112</v>
      </c>
      <c r="D6" s="6" t="s">
        <v>113</v>
      </c>
      <c r="E6" s="6" t="s">
        <v>92</v>
      </c>
      <c r="F6" s="6" t="s">
        <v>115</v>
      </c>
      <c r="G6" s="6" t="s">
        <v>114</v>
      </c>
      <c r="H6" s="6" t="s">
        <v>398</v>
      </c>
      <c r="I6" s="6" t="s">
        <v>399</v>
      </c>
      <c r="J6" s="6" t="s">
        <v>116</v>
      </c>
      <c r="K6" s="6" t="s">
        <v>395</v>
      </c>
      <c r="L6" s="6" t="s">
        <v>117</v>
      </c>
      <c r="M6" s="6" t="s">
        <v>111</v>
      </c>
      <c r="N6" s="357" t="s">
        <v>118</v>
      </c>
      <c r="O6" s="358"/>
      <c r="P6" s="358"/>
      <c r="Q6" s="358"/>
      <c r="R6" s="358"/>
      <c r="S6" s="358"/>
    </row>
    <row r="7" spans="1:19" x14ac:dyDescent="0.3">
      <c r="C7" s="117" t="s">
        <v>365</v>
      </c>
      <c r="D7" s="118">
        <v>46251</v>
      </c>
      <c r="E7" s="3" t="s">
        <v>368</v>
      </c>
      <c r="F7" s="3"/>
      <c r="G7" s="3" t="s">
        <v>371</v>
      </c>
      <c r="H7" s="3" t="s">
        <v>372</v>
      </c>
      <c r="I7" s="3" t="s">
        <v>373</v>
      </c>
      <c r="J7" s="3" t="s">
        <v>393</v>
      </c>
      <c r="K7" s="76" t="s">
        <v>396</v>
      </c>
      <c r="L7" s="3"/>
      <c r="M7" s="3"/>
      <c r="N7" s="109" t="s">
        <v>439</v>
      </c>
      <c r="O7" s="80" t="s">
        <v>434</v>
      </c>
      <c r="P7" s="124" t="s">
        <v>435</v>
      </c>
      <c r="Q7" s="80" t="s">
        <v>436</v>
      </c>
      <c r="R7" s="124" t="s">
        <v>437</v>
      </c>
      <c r="S7" s="80" t="s">
        <v>438</v>
      </c>
    </row>
    <row r="8" spans="1:19" x14ac:dyDescent="0.3">
      <c r="C8" s="117" t="s">
        <v>366</v>
      </c>
      <c r="D8" s="118">
        <v>46251</v>
      </c>
      <c r="E8" s="3" t="s">
        <v>369</v>
      </c>
      <c r="F8" s="3"/>
      <c r="G8" s="3" t="s">
        <v>371</v>
      </c>
      <c r="H8" s="3" t="s">
        <v>372</v>
      </c>
      <c r="I8" s="3" t="s">
        <v>373</v>
      </c>
      <c r="J8" s="3" t="s">
        <v>394</v>
      </c>
      <c r="K8" s="122" t="s">
        <v>397</v>
      </c>
      <c r="L8" s="3"/>
      <c r="M8" s="3"/>
      <c r="N8" s="3" t="s">
        <v>439</v>
      </c>
      <c r="O8" s="80" t="s">
        <v>434</v>
      </c>
      <c r="P8" s="80" t="s">
        <v>435</v>
      </c>
      <c r="Q8" s="80" t="s">
        <v>436</v>
      </c>
      <c r="R8" s="80" t="s">
        <v>437</v>
      </c>
      <c r="S8" s="80" t="s">
        <v>438</v>
      </c>
    </row>
    <row r="9" spans="1:19" x14ac:dyDescent="0.3">
      <c r="C9" s="117" t="s">
        <v>367</v>
      </c>
      <c r="D9" s="118">
        <v>46251</v>
      </c>
      <c r="E9" s="3" t="s">
        <v>370</v>
      </c>
      <c r="F9" s="3"/>
      <c r="G9" s="3" t="s">
        <v>98</v>
      </c>
      <c r="H9" s="3" t="s">
        <v>374</v>
      </c>
      <c r="I9" s="3" t="s">
        <v>375</v>
      </c>
      <c r="J9" s="3" t="s">
        <v>392</v>
      </c>
      <c r="K9" s="76" t="s">
        <v>396</v>
      </c>
      <c r="L9" s="3"/>
      <c r="M9" s="3"/>
      <c r="N9" s="3" t="s">
        <v>439</v>
      </c>
      <c r="O9" s="80" t="s">
        <v>434</v>
      </c>
      <c r="P9" s="80" t="s">
        <v>435</v>
      </c>
      <c r="Q9" s="80" t="s">
        <v>436</v>
      </c>
      <c r="R9" s="80" t="s">
        <v>437</v>
      </c>
      <c r="S9" s="80" t="s">
        <v>438</v>
      </c>
    </row>
    <row r="10" spans="1:19" x14ac:dyDescent="0.3">
      <c r="C10" s="3"/>
      <c r="D10" s="3"/>
      <c r="E10" s="3"/>
      <c r="F10" s="3"/>
      <c r="G10" s="3"/>
      <c r="H10" s="3"/>
      <c r="I10" s="3"/>
      <c r="J10" s="3"/>
      <c r="K10" s="76" t="s">
        <v>396</v>
      </c>
      <c r="L10" s="3"/>
      <c r="M10" s="3"/>
      <c r="N10" s="3" t="s">
        <v>439</v>
      </c>
      <c r="O10" s="80" t="s">
        <v>434</v>
      </c>
      <c r="P10" s="80" t="s">
        <v>435</v>
      </c>
      <c r="Q10" s="80" t="s">
        <v>436</v>
      </c>
      <c r="R10" s="80" t="s">
        <v>437</v>
      </c>
      <c r="S10" s="80" t="s">
        <v>438</v>
      </c>
    </row>
    <row r="12" spans="1:19" ht="15" thickBot="1" x14ac:dyDescent="0.35"/>
    <row r="13" spans="1:19" ht="15" thickBot="1" x14ac:dyDescent="0.35">
      <c r="Q13" s="190" t="s">
        <v>585</v>
      </c>
      <c r="R13" s="191"/>
      <c r="S13" s="192"/>
    </row>
    <row r="14" spans="1:19" x14ac:dyDescent="0.3">
      <c r="Q14" t="s">
        <v>401</v>
      </c>
    </row>
    <row r="15" spans="1:19" x14ac:dyDescent="0.3">
      <c r="Q15" t="s">
        <v>586</v>
      </c>
    </row>
    <row r="16" spans="1:19" x14ac:dyDescent="0.3">
      <c r="Q16" t="s">
        <v>587</v>
      </c>
    </row>
    <row r="37" spans="14:17" x14ac:dyDescent="0.3">
      <c r="N37" t="s">
        <v>494</v>
      </c>
    </row>
    <row r="39" spans="14:17" x14ac:dyDescent="0.3">
      <c r="N39" t="s">
        <v>495</v>
      </c>
      <c r="O39" s="20"/>
      <c r="P39" s="33"/>
      <c r="Q39" s="34"/>
    </row>
    <row r="41" spans="14:17" x14ac:dyDescent="0.3">
      <c r="N41" t="s">
        <v>496</v>
      </c>
    </row>
    <row r="42" spans="14:17" x14ac:dyDescent="0.3">
      <c r="N42" t="s">
        <v>497</v>
      </c>
    </row>
  </sheetData>
  <mergeCells count="1">
    <mergeCell ref="N6:S6"/>
  </mergeCells>
  <hyperlinks>
    <hyperlink ref="A1" location="Menu!A1" display="menu"/>
    <hyperlink ref="N7" location="'New Inquiry'!A1" display="View "/>
    <hyperlink ref="P7" location="'Price Check'!A1" display="Price"/>
    <hyperlink ref="R7" location="Quotation!A1" display="Quote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3729" r:id="rId4" name="Drop Down 1">
              <controlPr defaultSize="0" autoLine="0" autoPict="0">
                <anchor moveWithCells="1">
                  <from>
                    <xdr:col>14</xdr:col>
                    <xdr:colOff>15240</xdr:colOff>
                    <xdr:row>38</xdr:row>
                    <xdr:rowOff>15240</xdr:rowOff>
                  </from>
                  <to>
                    <xdr:col>17</xdr:col>
                    <xdr:colOff>7620</xdr:colOff>
                    <xdr:row>38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6"/>
  <sheetViews>
    <sheetView showGridLines="0" workbookViewId="0"/>
  </sheetViews>
  <sheetFormatPr defaultRowHeight="14.4" x14ac:dyDescent="0.3"/>
  <cols>
    <col min="2" max="2" width="4.6640625" customWidth="1"/>
    <col min="3" max="3" width="10.88671875" customWidth="1"/>
    <col min="5" max="5" width="19.88671875" customWidth="1"/>
    <col min="6" max="6" width="14.109375" customWidth="1"/>
    <col min="7" max="7" width="9.77734375" bestFit="1" customWidth="1"/>
    <col min="9" max="9" width="17.33203125" bestFit="1" customWidth="1"/>
    <col min="10" max="12" width="11.5546875" bestFit="1" customWidth="1"/>
    <col min="13" max="13" width="6.44140625" bestFit="1" customWidth="1"/>
    <col min="15" max="15" width="6.109375" bestFit="1" customWidth="1"/>
  </cols>
  <sheetData>
    <row r="1" spans="1:17" x14ac:dyDescent="0.3">
      <c r="A1" s="2" t="s">
        <v>33</v>
      </c>
    </row>
    <row r="2" spans="1:17" x14ac:dyDescent="0.3">
      <c r="C2" s="40"/>
      <c r="D2" s="41"/>
      <c r="E2" s="41"/>
      <c r="F2" s="41"/>
      <c r="G2" s="41"/>
      <c r="H2" s="41"/>
      <c r="I2" s="41" t="s">
        <v>492</v>
      </c>
      <c r="J2" s="41"/>
      <c r="K2" s="41"/>
      <c r="L2" s="41"/>
      <c r="M2" s="41"/>
    </row>
    <row r="4" spans="1:17" x14ac:dyDescent="0.3">
      <c r="F4" s="32"/>
    </row>
    <row r="5" spans="1:17" x14ac:dyDescent="0.3">
      <c r="M5" s="3" t="s">
        <v>55</v>
      </c>
      <c r="N5" s="33"/>
      <c r="O5" s="33"/>
    </row>
    <row r="6" spans="1:17" x14ac:dyDescent="0.3">
      <c r="C6" s="6" t="s">
        <v>112</v>
      </c>
      <c r="D6" s="6" t="s">
        <v>113</v>
      </c>
      <c r="E6" s="6" t="s">
        <v>115</v>
      </c>
      <c r="F6" s="6" t="s">
        <v>114</v>
      </c>
      <c r="G6" s="6" t="s">
        <v>398</v>
      </c>
      <c r="H6" s="6" t="s">
        <v>399</v>
      </c>
      <c r="I6" s="6" t="s">
        <v>116</v>
      </c>
      <c r="J6" s="6" t="s">
        <v>117</v>
      </c>
      <c r="K6" s="6" t="s">
        <v>395</v>
      </c>
      <c r="L6" s="6" t="s">
        <v>111</v>
      </c>
      <c r="M6" s="357" t="s">
        <v>118</v>
      </c>
      <c r="N6" s="358"/>
      <c r="O6" s="358"/>
    </row>
    <row r="7" spans="1:17" x14ac:dyDescent="0.3">
      <c r="C7" s="117" t="s">
        <v>365</v>
      </c>
      <c r="D7" s="118">
        <v>46251</v>
      </c>
      <c r="E7" s="3"/>
      <c r="F7" s="3" t="s">
        <v>371</v>
      </c>
      <c r="G7" s="3" t="s">
        <v>372</v>
      </c>
      <c r="H7" s="3" t="s">
        <v>373</v>
      </c>
      <c r="I7" s="3" t="s">
        <v>393</v>
      </c>
      <c r="J7" s="3"/>
      <c r="K7" s="126" t="s">
        <v>396</v>
      </c>
      <c r="L7" s="3" t="s">
        <v>491</v>
      </c>
      <c r="M7" t="s">
        <v>439</v>
      </c>
      <c r="N7" s="80" t="s">
        <v>437</v>
      </c>
    </row>
    <row r="8" spans="1:17" x14ac:dyDescent="0.3">
      <c r="C8" s="117" t="s">
        <v>366</v>
      </c>
      <c r="D8" s="118">
        <v>46251</v>
      </c>
      <c r="E8" s="3"/>
      <c r="F8" s="3" t="s">
        <v>371</v>
      </c>
      <c r="G8" s="3" t="s">
        <v>372</v>
      </c>
      <c r="H8" s="3" t="s">
        <v>373</v>
      </c>
      <c r="I8" s="3" t="s">
        <v>394</v>
      </c>
      <c r="J8" s="3"/>
      <c r="K8" s="122" t="s">
        <v>397</v>
      </c>
      <c r="L8" s="3" t="s">
        <v>491</v>
      </c>
      <c r="M8" s="3" t="s">
        <v>439</v>
      </c>
      <c r="N8" s="80" t="s">
        <v>437</v>
      </c>
    </row>
    <row r="9" spans="1:17" x14ac:dyDescent="0.3">
      <c r="C9" s="117" t="s">
        <v>367</v>
      </c>
      <c r="D9" s="118">
        <v>46251</v>
      </c>
      <c r="E9" s="3"/>
      <c r="F9" s="3" t="s">
        <v>98</v>
      </c>
      <c r="G9" s="3" t="s">
        <v>374</v>
      </c>
      <c r="H9" s="3" t="s">
        <v>375</v>
      </c>
      <c r="I9" s="3" t="s">
        <v>392</v>
      </c>
      <c r="J9" s="3"/>
      <c r="K9" s="126" t="s">
        <v>396</v>
      </c>
      <c r="L9" s="3" t="s">
        <v>491</v>
      </c>
      <c r="M9" s="3" t="s">
        <v>439</v>
      </c>
      <c r="N9" s="80" t="s">
        <v>437</v>
      </c>
    </row>
    <row r="10" spans="1:17" x14ac:dyDescent="0.3">
      <c r="C10" s="3"/>
      <c r="D10" s="3"/>
      <c r="E10" s="3"/>
      <c r="F10" s="3"/>
      <c r="G10" s="3"/>
      <c r="H10" s="3"/>
      <c r="I10" s="3"/>
      <c r="J10" s="3"/>
      <c r="K10" s="126" t="s">
        <v>396</v>
      </c>
      <c r="L10" s="3" t="s">
        <v>491</v>
      </c>
      <c r="M10" s="3" t="s">
        <v>439</v>
      </c>
      <c r="N10" s="80" t="s">
        <v>437</v>
      </c>
    </row>
    <row r="14" spans="1:17" x14ac:dyDescent="0.3">
      <c r="D14" s="43"/>
      <c r="E14" s="44"/>
      <c r="F14" s="44"/>
      <c r="G14" s="44"/>
      <c r="H14" s="44" t="s">
        <v>483</v>
      </c>
      <c r="I14" s="44"/>
      <c r="J14" s="44"/>
      <c r="K14" s="45"/>
      <c r="L14" s="21"/>
      <c r="M14" s="21"/>
      <c r="N14" s="21"/>
      <c r="O14" s="21"/>
      <c r="P14" s="21"/>
      <c r="Q14" s="21"/>
    </row>
    <row r="15" spans="1:17" x14ac:dyDescent="0.3">
      <c r="D15" s="46"/>
      <c r="E15" s="21"/>
      <c r="F15" s="21"/>
      <c r="G15" s="21"/>
      <c r="H15" s="21"/>
      <c r="I15" s="21"/>
      <c r="J15" s="21"/>
      <c r="K15" s="48"/>
      <c r="L15" s="21"/>
      <c r="M15" s="21"/>
      <c r="N15" s="21"/>
      <c r="O15" s="21"/>
      <c r="P15" s="21"/>
      <c r="Q15" s="21"/>
    </row>
    <row r="16" spans="1:17" ht="28.8" x14ac:dyDescent="0.3">
      <c r="D16" s="6" t="s">
        <v>36</v>
      </c>
      <c r="E16" s="6" t="s">
        <v>454</v>
      </c>
      <c r="F16" s="139" t="s">
        <v>462</v>
      </c>
      <c r="G16" s="133" t="s">
        <v>140</v>
      </c>
      <c r="H16" s="6" t="s">
        <v>457</v>
      </c>
      <c r="I16" s="138" t="s">
        <v>481</v>
      </c>
      <c r="J16" s="6" t="s">
        <v>146</v>
      </c>
      <c r="K16" s="140" t="s">
        <v>482</v>
      </c>
      <c r="L16" s="21"/>
      <c r="M16" s="21"/>
      <c r="N16" s="21" t="s">
        <v>493</v>
      </c>
      <c r="O16" s="21"/>
      <c r="P16" s="21"/>
      <c r="Q16" s="21"/>
    </row>
    <row r="17" spans="4:17" x14ac:dyDescent="0.3">
      <c r="D17" s="3"/>
      <c r="E17" s="3"/>
      <c r="F17" s="21"/>
      <c r="G17" s="21"/>
      <c r="H17" s="3"/>
      <c r="I17" s="3"/>
      <c r="J17" s="3"/>
      <c r="K17" s="3"/>
      <c r="L17" s="21"/>
      <c r="M17" s="21"/>
      <c r="N17" s="21" t="s">
        <v>498</v>
      </c>
      <c r="O17" s="21"/>
      <c r="P17" s="21"/>
      <c r="Q17" s="21"/>
    </row>
    <row r="18" spans="4:17" x14ac:dyDescent="0.3">
      <c r="D18" s="46"/>
      <c r="E18" s="21"/>
      <c r="F18" s="21"/>
      <c r="G18" s="21"/>
      <c r="H18" s="21"/>
      <c r="I18" s="21"/>
      <c r="J18" s="21"/>
      <c r="K18" s="48"/>
      <c r="L18" s="21"/>
      <c r="M18" s="21"/>
      <c r="N18" s="21" t="s">
        <v>499</v>
      </c>
      <c r="O18" s="21"/>
      <c r="P18" s="21"/>
      <c r="Q18" s="21"/>
    </row>
    <row r="19" spans="4:17" x14ac:dyDescent="0.3">
      <c r="D19" s="46"/>
      <c r="E19" s="21"/>
      <c r="F19" s="21"/>
      <c r="G19" s="21"/>
      <c r="H19" s="21"/>
      <c r="I19" s="21"/>
      <c r="J19" s="21"/>
      <c r="K19" s="48"/>
      <c r="L19" s="21"/>
      <c r="M19" s="21"/>
      <c r="N19" s="14" t="s">
        <v>500</v>
      </c>
      <c r="O19" s="21"/>
      <c r="P19" s="21"/>
      <c r="Q19" s="21"/>
    </row>
    <row r="20" spans="4:17" ht="28.8" x14ac:dyDescent="0.3">
      <c r="D20" s="6" t="s">
        <v>36</v>
      </c>
      <c r="E20" s="6" t="s">
        <v>454</v>
      </c>
      <c r="F20" s="139" t="s">
        <v>462</v>
      </c>
      <c r="G20" s="133" t="s">
        <v>140</v>
      </c>
      <c r="H20" s="6" t="s">
        <v>457</v>
      </c>
      <c r="I20" s="138" t="s">
        <v>481</v>
      </c>
      <c r="J20" s="6" t="s">
        <v>146</v>
      </c>
      <c r="K20" s="140" t="s">
        <v>482</v>
      </c>
      <c r="L20" s="21"/>
      <c r="M20" s="21"/>
      <c r="N20" s="21"/>
      <c r="O20" s="21"/>
      <c r="P20" s="21"/>
      <c r="Q20" s="21"/>
    </row>
    <row r="21" spans="4:17" x14ac:dyDescent="0.3">
      <c r="D21" s="3"/>
      <c r="E21" s="3"/>
      <c r="F21" s="3"/>
      <c r="G21" s="3"/>
      <c r="H21" s="3"/>
      <c r="I21" s="3"/>
      <c r="J21" s="3"/>
      <c r="K21" s="3"/>
      <c r="L21" s="21"/>
      <c r="M21" s="21"/>
      <c r="N21" s="21"/>
      <c r="O21" s="21"/>
      <c r="P21" s="21"/>
      <c r="Q21" s="21"/>
    </row>
    <row r="22" spans="4:17" x14ac:dyDescent="0.3">
      <c r="D22" s="3"/>
      <c r="E22" s="3"/>
      <c r="F22" s="3"/>
      <c r="G22" s="3"/>
      <c r="H22" s="3"/>
      <c r="I22" s="3"/>
      <c r="J22" s="3"/>
      <c r="K22" s="3"/>
      <c r="L22" s="21"/>
      <c r="M22" s="21"/>
      <c r="N22" s="21"/>
      <c r="O22" s="21"/>
      <c r="P22" s="21"/>
      <c r="Q22" s="21"/>
    </row>
    <row r="23" spans="4:17" x14ac:dyDescent="0.3">
      <c r="D23" s="3"/>
      <c r="E23" s="3"/>
      <c r="F23" s="3"/>
      <c r="G23" s="3"/>
      <c r="H23" s="3"/>
      <c r="I23" s="3"/>
      <c r="J23" s="3"/>
      <c r="K23" s="3"/>
      <c r="L23" s="21"/>
      <c r="M23" s="21"/>
      <c r="N23" s="21"/>
      <c r="O23" s="21"/>
      <c r="P23" s="21"/>
      <c r="Q23" s="21"/>
    </row>
    <row r="24" spans="4:17" x14ac:dyDescent="0.3">
      <c r="D24" s="3"/>
      <c r="E24" s="3"/>
      <c r="F24" s="3"/>
      <c r="G24" s="3"/>
      <c r="H24" s="3"/>
      <c r="I24" s="3"/>
      <c r="J24" s="3"/>
      <c r="K24" s="3"/>
      <c r="L24" s="21"/>
      <c r="M24" s="21"/>
      <c r="N24" s="21"/>
      <c r="O24" s="21"/>
      <c r="P24" s="21"/>
      <c r="Q24" s="21"/>
    </row>
    <row r="25" spans="4:17" x14ac:dyDescent="0.3">
      <c r="D25" s="3"/>
      <c r="E25" s="3"/>
      <c r="F25" s="3"/>
      <c r="G25" s="3"/>
      <c r="H25" s="3"/>
      <c r="I25" s="3"/>
      <c r="J25" s="3"/>
      <c r="K25" s="3"/>
      <c r="L25" s="21"/>
      <c r="M25" s="21"/>
      <c r="N25" s="21"/>
      <c r="O25" s="21"/>
      <c r="P25" s="21"/>
      <c r="Q25" s="21"/>
    </row>
    <row r="26" spans="4:17" x14ac:dyDescent="0.3">
      <c r="D26" s="46"/>
      <c r="E26" s="21"/>
      <c r="F26" s="21"/>
      <c r="G26" s="21"/>
      <c r="H26" s="21"/>
      <c r="I26" s="21"/>
      <c r="J26" s="21"/>
      <c r="K26" s="48"/>
      <c r="L26" s="21"/>
      <c r="M26" s="21"/>
      <c r="N26" s="21"/>
      <c r="O26" s="21"/>
      <c r="P26" s="21"/>
      <c r="Q26" s="21"/>
    </row>
    <row r="27" spans="4:17" x14ac:dyDescent="0.3">
      <c r="D27" s="50"/>
      <c r="E27" s="1"/>
      <c r="F27" s="1"/>
      <c r="G27" s="1"/>
      <c r="H27" s="1"/>
      <c r="I27" s="1"/>
      <c r="J27" s="1"/>
      <c r="K27" s="51"/>
      <c r="L27" s="21"/>
      <c r="M27" s="21"/>
      <c r="N27" s="21"/>
      <c r="O27" s="21"/>
      <c r="P27" s="21"/>
      <c r="Q27" s="21"/>
    </row>
    <row r="28" spans="4:17" x14ac:dyDescent="0.3">
      <c r="L28" s="21"/>
      <c r="M28" s="21"/>
      <c r="N28" s="21"/>
      <c r="O28" s="21"/>
      <c r="P28" s="21"/>
      <c r="Q28" s="21"/>
    </row>
    <row r="30" spans="4:17" x14ac:dyDescent="0.3">
      <c r="D30" s="6" t="s">
        <v>485</v>
      </c>
      <c r="E30" s="6" t="s">
        <v>489</v>
      </c>
      <c r="F30" s="6" t="s">
        <v>490</v>
      </c>
      <c r="G30" s="6" t="s">
        <v>42</v>
      </c>
      <c r="H30" s="6" t="s">
        <v>487</v>
      </c>
      <c r="I30" s="6" t="s">
        <v>488</v>
      </c>
      <c r="J30" s="146" t="s">
        <v>104</v>
      </c>
      <c r="K30" s="147"/>
      <c r="L30" s="123"/>
    </row>
    <row r="31" spans="4:17" x14ac:dyDescent="0.3">
      <c r="D31" s="3"/>
      <c r="E31" s="3"/>
      <c r="F31" s="3"/>
      <c r="G31" s="3"/>
      <c r="H31" s="3"/>
      <c r="I31" s="3"/>
      <c r="J31" s="20"/>
      <c r="K31" s="33"/>
      <c r="L31" s="34"/>
    </row>
    <row r="33" spans="4:12" x14ac:dyDescent="0.3">
      <c r="D33" s="6" t="s">
        <v>485</v>
      </c>
      <c r="E33" s="6" t="s">
        <v>489</v>
      </c>
      <c r="F33" s="6" t="s">
        <v>486</v>
      </c>
      <c r="G33" s="6" t="s">
        <v>42</v>
      </c>
      <c r="H33" s="6" t="s">
        <v>487</v>
      </c>
      <c r="I33" s="6" t="s">
        <v>488</v>
      </c>
      <c r="J33" s="146" t="s">
        <v>104</v>
      </c>
      <c r="K33" s="147"/>
      <c r="L33" s="123"/>
    </row>
    <row r="36" spans="4:12" x14ac:dyDescent="0.3">
      <c r="K36" s="3" t="s">
        <v>484</v>
      </c>
    </row>
  </sheetData>
  <mergeCells count="1">
    <mergeCell ref="M6:O6"/>
  </mergeCells>
  <hyperlinks>
    <hyperlink ref="A1" location="Menu!A1" display="menu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7825" r:id="rId4" name="Drop Down 1">
              <controlPr defaultSize="0" autoLine="0" autoPict="0">
                <anchor moveWithCells="1">
                  <from>
                    <xdr:col>5</xdr:col>
                    <xdr:colOff>38100</xdr:colOff>
                    <xdr:row>16</xdr:row>
                    <xdr:rowOff>15240</xdr:rowOff>
                  </from>
                  <to>
                    <xdr:col>5</xdr:col>
                    <xdr:colOff>952500</xdr:colOff>
                    <xdr:row>17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7826" r:id="rId5" name="Drop Down 2">
              <controlPr defaultSize="0" autoLine="0" autoPict="0">
                <anchor moveWithCells="1">
                  <from>
                    <xdr:col>5</xdr:col>
                    <xdr:colOff>960120</xdr:colOff>
                    <xdr:row>16</xdr:row>
                    <xdr:rowOff>15240</xdr:rowOff>
                  </from>
                  <to>
                    <xdr:col>7</xdr:col>
                    <xdr:colOff>15240</xdr:colOff>
                    <xdr:row>17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7827" r:id="rId6" name="Drop Down 3">
              <controlPr defaultSize="0" autoLine="0" autoPict="0">
                <anchor moveWithCells="1">
                  <from>
                    <xdr:col>3</xdr:col>
                    <xdr:colOff>7620</xdr:colOff>
                    <xdr:row>16</xdr:row>
                    <xdr:rowOff>7620</xdr:rowOff>
                  </from>
                  <to>
                    <xdr:col>4</xdr:col>
                    <xdr:colOff>7620</xdr:colOff>
                    <xdr:row>17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showGridLines="0" workbookViewId="0">
      <selection activeCell="O11" sqref="O11"/>
    </sheetView>
  </sheetViews>
  <sheetFormatPr defaultRowHeight="14.4" x14ac:dyDescent="0.3"/>
  <cols>
    <col min="7" max="7" width="10.21875" bestFit="1" customWidth="1"/>
    <col min="12" max="12" width="16" bestFit="1" customWidth="1"/>
    <col min="15" max="15" width="11.109375" bestFit="1" customWidth="1"/>
  </cols>
  <sheetData>
    <row r="1" spans="1:15" x14ac:dyDescent="0.3">
      <c r="A1" s="2" t="s">
        <v>33</v>
      </c>
    </row>
    <row r="4" spans="1:15" x14ac:dyDescent="0.3">
      <c r="D4" t="s">
        <v>441</v>
      </c>
    </row>
    <row r="6" spans="1:15" x14ac:dyDescent="0.3">
      <c r="H6" s="352" t="s">
        <v>54</v>
      </c>
      <c r="I6" s="352"/>
      <c r="J6" s="352"/>
      <c r="K6" s="352"/>
    </row>
    <row r="7" spans="1:15" x14ac:dyDescent="0.3">
      <c r="D7" s="9" t="s">
        <v>34</v>
      </c>
      <c r="E7" s="9" t="s">
        <v>35</v>
      </c>
      <c r="F7" s="9" t="s">
        <v>36</v>
      </c>
      <c r="G7" s="9" t="s">
        <v>45</v>
      </c>
      <c r="H7" s="9" t="s">
        <v>37</v>
      </c>
      <c r="I7" s="9" t="s">
        <v>40</v>
      </c>
      <c r="J7" s="9" t="s">
        <v>38</v>
      </c>
      <c r="K7" s="9" t="s">
        <v>39</v>
      </c>
      <c r="L7" s="9" t="s">
        <v>41</v>
      </c>
      <c r="M7" s="9" t="s">
        <v>42</v>
      </c>
      <c r="N7" s="9" t="s">
        <v>104</v>
      </c>
      <c r="O7" s="9" t="s">
        <v>43</v>
      </c>
    </row>
    <row r="8" spans="1:15" x14ac:dyDescent="0.3">
      <c r="D8" s="359" t="s">
        <v>372</v>
      </c>
      <c r="E8" s="359" t="s">
        <v>373</v>
      </c>
      <c r="F8" s="3" t="s">
        <v>383</v>
      </c>
      <c r="G8" s="3" t="s">
        <v>446</v>
      </c>
      <c r="H8" s="3">
        <v>200</v>
      </c>
      <c r="I8" s="3">
        <v>400</v>
      </c>
      <c r="J8" s="3">
        <v>4500</v>
      </c>
      <c r="K8" s="3"/>
      <c r="L8" s="3"/>
      <c r="M8" s="3"/>
      <c r="N8" s="3"/>
      <c r="O8" s="3"/>
    </row>
    <row r="9" spans="1:15" x14ac:dyDescent="0.3">
      <c r="D9" s="359"/>
      <c r="E9" s="359"/>
      <c r="F9" s="3" t="s">
        <v>445</v>
      </c>
      <c r="G9" s="3" t="s">
        <v>446</v>
      </c>
      <c r="H9" s="3">
        <v>203</v>
      </c>
      <c r="I9" s="3">
        <v>450</v>
      </c>
      <c r="J9" s="3">
        <v>500</v>
      </c>
      <c r="K9" s="3"/>
      <c r="L9" s="3"/>
      <c r="M9" s="3"/>
      <c r="N9" s="3"/>
      <c r="O9" s="3"/>
    </row>
    <row r="10" spans="1:15" x14ac:dyDescent="0.3">
      <c r="D10" s="359"/>
      <c r="E10" s="359"/>
      <c r="F10" s="3" t="s">
        <v>382</v>
      </c>
      <c r="G10" s="3" t="s">
        <v>446</v>
      </c>
      <c r="H10" s="3">
        <v>190</v>
      </c>
      <c r="I10" s="3">
        <v>430</v>
      </c>
      <c r="J10" s="3">
        <v>480</v>
      </c>
      <c r="K10" s="3"/>
      <c r="L10" s="3"/>
      <c r="M10" s="3"/>
      <c r="N10" s="3"/>
      <c r="O10" s="3"/>
    </row>
    <row r="11" spans="1:15" x14ac:dyDescent="0.3">
      <c r="O11" s="2" t="s">
        <v>255</v>
      </c>
    </row>
  </sheetData>
  <mergeCells count="3">
    <mergeCell ref="H6:K6"/>
    <mergeCell ref="D8:D10"/>
    <mergeCell ref="E8:E10"/>
  </mergeCells>
  <hyperlinks>
    <hyperlink ref="A1" location="Menu!A1" display="menu"/>
    <hyperlink ref="O11" location="'Inquiry List'!A1" display="Back to List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1"/>
  <sheetViews>
    <sheetView showGridLines="0" workbookViewId="0"/>
  </sheetViews>
  <sheetFormatPr defaultRowHeight="14.4" x14ac:dyDescent="0.3"/>
  <cols>
    <col min="3" max="3" width="17" bestFit="1" customWidth="1"/>
    <col min="4" max="4" width="22.77734375" bestFit="1" customWidth="1"/>
    <col min="5" max="5" width="17.21875" style="32" bestFit="1" customWidth="1"/>
    <col min="6" max="6" width="12.33203125" bestFit="1" customWidth="1"/>
    <col min="11" max="11" width="10.33203125" bestFit="1" customWidth="1"/>
    <col min="12" max="12" width="14.88671875" bestFit="1" customWidth="1"/>
    <col min="16" max="16" width="12.88671875" customWidth="1"/>
    <col min="18" max="18" width="24.77734375" bestFit="1" customWidth="1"/>
  </cols>
  <sheetData>
    <row r="1" spans="1:16" x14ac:dyDescent="0.3">
      <c r="A1" s="2" t="s">
        <v>119</v>
      </c>
    </row>
    <row r="2" spans="1:16" x14ac:dyDescent="0.3">
      <c r="C2" s="32" t="s">
        <v>120</v>
      </c>
      <c r="D2" s="3"/>
      <c r="F2" s="32" t="s">
        <v>121</v>
      </c>
      <c r="G2" s="3"/>
    </row>
    <row r="3" spans="1:16" x14ac:dyDescent="0.3">
      <c r="C3" s="32" t="s">
        <v>112</v>
      </c>
      <c r="D3" s="141" t="s">
        <v>470</v>
      </c>
      <c r="E3" s="49"/>
    </row>
    <row r="4" spans="1:16" x14ac:dyDescent="0.3">
      <c r="C4" s="32" t="s">
        <v>114</v>
      </c>
      <c r="D4" s="129" t="s">
        <v>524</v>
      </c>
    </row>
    <row r="5" spans="1:16" x14ac:dyDescent="0.3">
      <c r="C5" s="32" t="s">
        <v>92</v>
      </c>
      <c r="D5" s="35"/>
      <c r="E5" s="130"/>
      <c r="F5" s="36"/>
      <c r="G5" s="131"/>
    </row>
    <row r="6" spans="1:16" x14ac:dyDescent="0.3">
      <c r="C6" s="32" t="s">
        <v>449</v>
      </c>
      <c r="D6" s="128"/>
    </row>
    <row r="7" spans="1:16" x14ac:dyDescent="0.3">
      <c r="C7" s="136" t="s">
        <v>450</v>
      </c>
      <c r="D7" s="128"/>
      <c r="E7" s="136" t="s">
        <v>451</v>
      </c>
      <c r="F7" s="35"/>
      <c r="G7" s="131"/>
    </row>
    <row r="8" spans="1:16" x14ac:dyDescent="0.3">
      <c r="C8" s="136" t="s">
        <v>442</v>
      </c>
      <c r="D8" s="128"/>
      <c r="E8" s="32" t="s">
        <v>115</v>
      </c>
      <c r="F8" s="35"/>
      <c r="G8" s="131"/>
    </row>
    <row r="9" spans="1:16" x14ac:dyDescent="0.3">
      <c r="C9" s="32" t="s">
        <v>452</v>
      </c>
      <c r="D9" s="128"/>
      <c r="E9" s="32" t="s">
        <v>94</v>
      </c>
      <c r="F9" s="35"/>
      <c r="G9" s="131"/>
      <c r="P9" s="1"/>
    </row>
    <row r="10" spans="1:16" x14ac:dyDescent="0.3">
      <c r="C10" s="32" t="s">
        <v>453</v>
      </c>
      <c r="D10" s="128"/>
      <c r="E10" s="32" t="s">
        <v>96</v>
      </c>
      <c r="F10" s="35"/>
      <c r="G10" s="131"/>
    </row>
    <row r="11" spans="1:16" ht="21.6" customHeight="1" x14ac:dyDescent="0.3">
      <c r="C11" s="32" t="s">
        <v>440</v>
      </c>
      <c r="E11" s="32" t="s">
        <v>468</v>
      </c>
    </row>
    <row r="12" spans="1:16" x14ac:dyDescent="0.3">
      <c r="C12" s="136" t="s">
        <v>458</v>
      </c>
    </row>
    <row r="13" spans="1:16" x14ac:dyDescent="0.3">
      <c r="C13" s="136" t="s">
        <v>538</v>
      </c>
      <c r="E13" s="32" t="s">
        <v>539</v>
      </c>
      <c r="I13" t="s">
        <v>540</v>
      </c>
    </row>
    <row r="14" spans="1:16" x14ac:dyDescent="0.3">
      <c r="C14" s="136" t="s">
        <v>536</v>
      </c>
      <c r="D14" s="3"/>
      <c r="E14" s="32" t="s">
        <v>537</v>
      </c>
      <c r="F14" s="20"/>
      <c r="G14" s="34"/>
    </row>
    <row r="15" spans="1:16" x14ac:dyDescent="0.3">
      <c r="C15" s="32"/>
    </row>
    <row r="16" spans="1:16" ht="43.2" x14ac:dyDescent="0.3">
      <c r="C16" s="32"/>
      <c r="D16" s="6" t="s">
        <v>454</v>
      </c>
      <c r="E16" s="139" t="s">
        <v>462</v>
      </c>
      <c r="F16" s="133" t="s">
        <v>140</v>
      </c>
      <c r="G16" s="6" t="s">
        <v>457</v>
      </c>
      <c r="H16" s="138" t="s">
        <v>461</v>
      </c>
      <c r="I16" s="6" t="s">
        <v>146</v>
      </c>
      <c r="J16" s="140" t="s">
        <v>467</v>
      </c>
      <c r="K16" s="138" t="s">
        <v>465</v>
      </c>
      <c r="L16" s="140" t="s">
        <v>469</v>
      </c>
    </row>
    <row r="17" spans="2:18" x14ac:dyDescent="0.3">
      <c r="C17" s="32"/>
      <c r="D17" s="3"/>
      <c r="E17" s="127"/>
      <c r="F17" s="132" t="s">
        <v>448</v>
      </c>
      <c r="G17" s="3"/>
      <c r="H17" s="3"/>
      <c r="I17" s="3"/>
      <c r="J17" s="3"/>
      <c r="K17" s="3"/>
      <c r="L17" s="3"/>
    </row>
    <row r="18" spans="2:18" x14ac:dyDescent="0.3">
      <c r="C18" s="49"/>
      <c r="D18" s="21"/>
      <c r="E18" s="49"/>
      <c r="F18" s="49"/>
      <c r="G18" s="21"/>
      <c r="H18" s="21"/>
      <c r="I18" s="21"/>
      <c r="J18" s="21"/>
      <c r="K18" s="21"/>
      <c r="L18" s="21"/>
      <c r="M18" s="21"/>
    </row>
    <row r="19" spans="2:18" ht="43.2" x14ac:dyDescent="0.3">
      <c r="C19" s="49"/>
      <c r="D19" s="6" t="s">
        <v>454</v>
      </c>
      <c r="E19" s="139" t="s">
        <v>462</v>
      </c>
      <c r="F19" s="133" t="s">
        <v>140</v>
      </c>
      <c r="G19" s="6" t="s">
        <v>457</v>
      </c>
      <c r="H19" s="138" t="s">
        <v>461</v>
      </c>
      <c r="I19" s="6" t="s">
        <v>146</v>
      </c>
      <c r="J19" s="140" t="s">
        <v>467</v>
      </c>
      <c r="K19" s="138" t="s">
        <v>465</v>
      </c>
      <c r="L19" s="140" t="s">
        <v>469</v>
      </c>
      <c r="M19" s="21"/>
    </row>
    <row r="20" spans="2:18" x14ac:dyDescent="0.3">
      <c r="C20" s="32"/>
      <c r="D20" s="3" t="s">
        <v>455</v>
      </c>
      <c r="E20" s="132" t="s">
        <v>37</v>
      </c>
      <c r="F20" s="132" t="s">
        <v>448</v>
      </c>
      <c r="G20" s="3">
        <v>1</v>
      </c>
      <c r="H20" s="3">
        <v>2828</v>
      </c>
      <c r="I20" s="3" t="s">
        <v>337</v>
      </c>
      <c r="J20" s="3">
        <f>H20*G20</f>
        <v>2828</v>
      </c>
      <c r="K20" s="3">
        <v>129</v>
      </c>
      <c r="L20" s="3">
        <f>K20*H20*G20</f>
        <v>364812</v>
      </c>
      <c r="M20" t="s">
        <v>56</v>
      </c>
    </row>
    <row r="21" spans="2:18" x14ac:dyDescent="0.3">
      <c r="C21" s="32"/>
      <c r="D21" s="3" t="s">
        <v>455</v>
      </c>
      <c r="E21" s="132" t="s">
        <v>40</v>
      </c>
      <c r="F21" s="132" t="s">
        <v>448</v>
      </c>
      <c r="G21" s="3">
        <v>2</v>
      </c>
      <c r="H21" s="3">
        <v>5252</v>
      </c>
      <c r="I21" s="3" t="s">
        <v>337</v>
      </c>
      <c r="J21" s="3">
        <f t="shared" ref="J21:J30" si="0">H21*G21</f>
        <v>10504</v>
      </c>
      <c r="K21" s="3">
        <v>129</v>
      </c>
      <c r="L21" s="3">
        <f t="shared" ref="L21:L30" si="1">K21*H21*G21</f>
        <v>1355016</v>
      </c>
      <c r="M21" t="s">
        <v>56</v>
      </c>
      <c r="O21" s="179" t="s">
        <v>588</v>
      </c>
      <c r="P21" s="123"/>
      <c r="R21" s="6" t="s">
        <v>596</v>
      </c>
    </row>
    <row r="22" spans="2:18" x14ac:dyDescent="0.3">
      <c r="C22" s="32"/>
      <c r="D22" s="3" t="s">
        <v>455</v>
      </c>
      <c r="E22" s="132" t="s">
        <v>38</v>
      </c>
      <c r="F22" s="132" t="s">
        <v>448</v>
      </c>
      <c r="G22" s="3">
        <v>5</v>
      </c>
      <c r="H22" s="3">
        <v>5252</v>
      </c>
      <c r="I22" s="3" t="s">
        <v>337</v>
      </c>
      <c r="J22" s="3">
        <f t="shared" si="0"/>
        <v>26260</v>
      </c>
      <c r="K22" s="3">
        <v>129</v>
      </c>
      <c r="L22" s="3">
        <f t="shared" si="1"/>
        <v>3387540</v>
      </c>
      <c r="M22" t="s">
        <v>56</v>
      </c>
      <c r="O22" s="43" t="s">
        <v>589</v>
      </c>
      <c r="P22" s="45"/>
      <c r="R22" s="71" t="s">
        <v>590</v>
      </c>
    </row>
    <row r="23" spans="2:18" x14ac:dyDescent="0.3">
      <c r="C23" s="32"/>
      <c r="D23" s="3" t="s">
        <v>460</v>
      </c>
      <c r="E23" s="132" t="s">
        <v>37</v>
      </c>
      <c r="F23" s="132" t="s">
        <v>448</v>
      </c>
      <c r="G23" s="3">
        <v>1</v>
      </c>
      <c r="H23" s="3">
        <v>13</v>
      </c>
      <c r="I23" s="3" t="s">
        <v>337</v>
      </c>
      <c r="J23" s="3">
        <f t="shared" si="0"/>
        <v>13</v>
      </c>
      <c r="K23" s="3">
        <v>129</v>
      </c>
      <c r="L23" s="3">
        <f t="shared" si="1"/>
        <v>1677</v>
      </c>
      <c r="M23" t="s">
        <v>56</v>
      </c>
      <c r="O23" s="46" t="s">
        <v>590</v>
      </c>
      <c r="P23" s="48"/>
      <c r="R23" s="71" t="s">
        <v>597</v>
      </c>
    </row>
    <row r="24" spans="2:18" x14ac:dyDescent="0.3">
      <c r="C24" s="32"/>
      <c r="D24" s="3" t="s">
        <v>460</v>
      </c>
      <c r="E24" s="132" t="s">
        <v>40</v>
      </c>
      <c r="F24" s="132" t="s">
        <v>448</v>
      </c>
      <c r="G24" s="3">
        <v>2</v>
      </c>
      <c r="H24" s="3">
        <v>13</v>
      </c>
      <c r="I24" s="3" t="s">
        <v>337</v>
      </c>
      <c r="J24" s="3">
        <f t="shared" si="0"/>
        <v>26</v>
      </c>
      <c r="K24" s="3">
        <v>129</v>
      </c>
      <c r="L24" s="3">
        <f t="shared" si="1"/>
        <v>3354</v>
      </c>
      <c r="M24" t="s">
        <v>56</v>
      </c>
      <c r="O24" s="46" t="s">
        <v>591</v>
      </c>
      <c r="P24" s="48"/>
      <c r="R24" s="71" t="s">
        <v>598</v>
      </c>
    </row>
    <row r="25" spans="2:18" x14ac:dyDescent="0.3">
      <c r="C25" s="32"/>
      <c r="D25" s="3" t="s">
        <v>460</v>
      </c>
      <c r="E25" s="132" t="s">
        <v>38</v>
      </c>
      <c r="F25" s="132" t="s">
        <v>448</v>
      </c>
      <c r="G25" s="3">
        <v>5</v>
      </c>
      <c r="H25" s="3">
        <v>13</v>
      </c>
      <c r="I25" s="3" t="s">
        <v>337</v>
      </c>
      <c r="J25" s="3">
        <f t="shared" si="0"/>
        <v>65</v>
      </c>
      <c r="K25" s="3">
        <v>129</v>
      </c>
      <c r="L25" s="3">
        <f t="shared" si="1"/>
        <v>8385</v>
      </c>
      <c r="M25" t="s">
        <v>56</v>
      </c>
      <c r="O25" s="46" t="s">
        <v>592</v>
      </c>
      <c r="P25" s="48"/>
      <c r="R25" s="71" t="s">
        <v>140</v>
      </c>
    </row>
    <row r="26" spans="2:18" x14ac:dyDescent="0.3">
      <c r="C26" s="32"/>
      <c r="D26" s="3" t="s">
        <v>464</v>
      </c>
      <c r="E26" s="132" t="s">
        <v>466</v>
      </c>
      <c r="F26" s="135" t="s">
        <v>456</v>
      </c>
      <c r="G26" s="3">
        <v>1</v>
      </c>
      <c r="H26" s="3">
        <v>30</v>
      </c>
      <c r="I26" s="3" t="s">
        <v>337</v>
      </c>
      <c r="J26" s="3">
        <f t="shared" si="0"/>
        <v>30</v>
      </c>
      <c r="K26" s="3">
        <v>129</v>
      </c>
      <c r="L26" s="3">
        <f t="shared" si="1"/>
        <v>3870</v>
      </c>
      <c r="M26" t="s">
        <v>56</v>
      </c>
      <c r="O26" s="46" t="s">
        <v>440</v>
      </c>
      <c r="P26" s="48"/>
      <c r="R26" s="71" t="s">
        <v>457</v>
      </c>
    </row>
    <row r="27" spans="2:18" x14ac:dyDescent="0.3">
      <c r="C27" s="32"/>
      <c r="D27" s="3" t="s">
        <v>463</v>
      </c>
      <c r="E27" s="132" t="s">
        <v>466</v>
      </c>
      <c r="F27" s="135" t="s">
        <v>456</v>
      </c>
      <c r="G27" s="3">
        <v>1</v>
      </c>
      <c r="H27" s="3">
        <v>20</v>
      </c>
      <c r="I27" s="3" t="s">
        <v>337</v>
      </c>
      <c r="J27" s="3">
        <f t="shared" si="0"/>
        <v>20</v>
      </c>
      <c r="K27" s="3">
        <v>129</v>
      </c>
      <c r="L27" s="3">
        <f t="shared" si="1"/>
        <v>2580</v>
      </c>
      <c r="M27" t="s">
        <v>56</v>
      </c>
      <c r="O27" s="46" t="s">
        <v>36</v>
      </c>
      <c r="P27" s="48"/>
      <c r="R27" s="71" t="s">
        <v>599</v>
      </c>
    </row>
    <row r="28" spans="2:18" x14ac:dyDescent="0.3">
      <c r="B28" t="s">
        <v>474</v>
      </c>
      <c r="C28" s="32"/>
      <c r="D28" s="7" t="s">
        <v>473</v>
      </c>
      <c r="E28" s="132" t="s">
        <v>37</v>
      </c>
      <c r="F28" s="132" t="s">
        <v>448</v>
      </c>
      <c r="G28" s="80">
        <v>1</v>
      </c>
      <c r="H28" s="80">
        <v>150</v>
      </c>
      <c r="I28" s="3" t="s">
        <v>337</v>
      </c>
      <c r="J28" s="3">
        <f t="shared" si="0"/>
        <v>150</v>
      </c>
      <c r="K28" s="3">
        <v>129</v>
      </c>
      <c r="L28" s="3">
        <f t="shared" si="1"/>
        <v>19350</v>
      </c>
      <c r="M28" t="s">
        <v>56</v>
      </c>
      <c r="O28" s="46" t="s">
        <v>593</v>
      </c>
      <c r="P28" s="48"/>
      <c r="R28" s="71" t="s">
        <v>146</v>
      </c>
    </row>
    <row r="29" spans="2:18" x14ac:dyDescent="0.3">
      <c r="C29" s="32"/>
      <c r="D29" s="7" t="s">
        <v>473</v>
      </c>
      <c r="E29" s="132" t="s">
        <v>40</v>
      </c>
      <c r="F29" s="132" t="s">
        <v>448</v>
      </c>
      <c r="G29" s="3">
        <v>1</v>
      </c>
      <c r="H29" s="80">
        <v>50</v>
      </c>
      <c r="I29" s="3" t="s">
        <v>337</v>
      </c>
      <c r="J29" s="83">
        <f t="shared" si="0"/>
        <v>50</v>
      </c>
      <c r="K29" s="3">
        <v>129</v>
      </c>
      <c r="L29" s="3">
        <f t="shared" si="1"/>
        <v>6450</v>
      </c>
      <c r="M29" t="s">
        <v>56</v>
      </c>
      <c r="O29" s="46" t="s">
        <v>594</v>
      </c>
      <c r="P29" s="48"/>
      <c r="R29" s="71" t="s">
        <v>600</v>
      </c>
    </row>
    <row r="30" spans="2:18" x14ac:dyDescent="0.3">
      <c r="C30" s="32"/>
      <c r="D30" s="7" t="s">
        <v>473</v>
      </c>
      <c r="E30" s="132" t="s">
        <v>38</v>
      </c>
      <c r="F30" s="132" t="s">
        <v>448</v>
      </c>
      <c r="G30" s="3">
        <v>2</v>
      </c>
      <c r="H30" s="80">
        <v>50</v>
      </c>
      <c r="I30" s="3" t="s">
        <v>337</v>
      </c>
      <c r="J30" s="80">
        <f t="shared" si="0"/>
        <v>100</v>
      </c>
      <c r="K30" s="3">
        <v>129</v>
      </c>
      <c r="L30" s="3">
        <f t="shared" si="1"/>
        <v>12900</v>
      </c>
      <c r="M30" t="s">
        <v>56</v>
      </c>
      <c r="O30" s="46" t="s">
        <v>595</v>
      </c>
      <c r="P30" s="48"/>
      <c r="R30" s="71" t="s">
        <v>601</v>
      </c>
    </row>
    <row r="31" spans="2:18" x14ac:dyDescent="0.3">
      <c r="C31" s="32"/>
      <c r="J31" s="72">
        <f>SUM(J20:J30)</f>
        <v>40046</v>
      </c>
      <c r="K31" s="72"/>
      <c r="L31" s="72">
        <f>SUM(L20:L30)</f>
        <v>5165934</v>
      </c>
      <c r="O31" s="50" t="s">
        <v>603</v>
      </c>
      <c r="P31" s="51"/>
      <c r="R31" s="72" t="s">
        <v>602</v>
      </c>
    </row>
    <row r="32" spans="2:18" x14ac:dyDescent="0.3">
      <c r="C32" s="32"/>
      <c r="O32" s="15" t="s">
        <v>604</v>
      </c>
    </row>
    <row r="33" spans="3:13" x14ac:dyDescent="0.3">
      <c r="C33" s="32"/>
      <c r="D33" s="149" t="s">
        <v>511</v>
      </c>
      <c r="E33" s="148"/>
      <c r="F33" s="34"/>
    </row>
    <row r="34" spans="3:13" x14ac:dyDescent="0.3">
      <c r="C34" s="32"/>
      <c r="L34" s="143" t="s">
        <v>512</v>
      </c>
    </row>
    <row r="35" spans="3:13" x14ac:dyDescent="0.3">
      <c r="L35" s="14"/>
      <c r="M35" s="14"/>
    </row>
    <row r="36" spans="3:13" s="21" customFormat="1" ht="16.8" customHeight="1" x14ac:dyDescent="0.3">
      <c r="D36" s="142" t="s">
        <v>459</v>
      </c>
      <c r="E36" s="32"/>
      <c r="F36"/>
      <c r="G36"/>
      <c r="H36"/>
      <c r="I36"/>
      <c r="J36"/>
      <c r="K36"/>
    </row>
    <row r="37" spans="3:13" s="21" customFormat="1" ht="16.8" customHeight="1" x14ac:dyDescent="0.3">
      <c r="D37" s="142" t="s">
        <v>478</v>
      </c>
      <c r="E37" s="32"/>
      <c r="F37"/>
      <c r="G37"/>
      <c r="H37"/>
      <c r="I37"/>
      <c r="J37"/>
      <c r="K37"/>
    </row>
    <row r="38" spans="3:13" x14ac:dyDescent="0.3">
      <c r="L38" s="21"/>
      <c r="M38" s="21"/>
    </row>
    <row r="39" spans="3:13" x14ac:dyDescent="0.3">
      <c r="D39" t="s">
        <v>471</v>
      </c>
      <c r="E39" s="37"/>
      <c r="F39" s="137"/>
      <c r="G39" s="37"/>
      <c r="H39" s="14"/>
      <c r="I39" s="14"/>
      <c r="J39" s="14"/>
      <c r="K39" s="14"/>
      <c r="L39" s="21"/>
      <c r="M39" s="21"/>
    </row>
    <row r="40" spans="3:13" x14ac:dyDescent="0.3">
      <c r="D40" t="s">
        <v>472</v>
      </c>
      <c r="E40" s="49"/>
      <c r="F40" s="49"/>
      <c r="G40" s="134"/>
      <c r="H40" s="21"/>
      <c r="I40" s="21"/>
      <c r="J40" s="21"/>
      <c r="K40" s="21"/>
    </row>
    <row r="41" spans="3:13" x14ac:dyDescent="0.3">
      <c r="D41" s="21" t="s">
        <v>526</v>
      </c>
      <c r="E41" s="21"/>
      <c r="F41" s="49"/>
      <c r="G41" s="21"/>
      <c r="H41" s="21"/>
      <c r="I41" s="21"/>
      <c r="J41" s="21"/>
      <c r="K41" s="21"/>
    </row>
  </sheetData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5297" r:id="rId3" name="Drop Down 1">
              <controlPr defaultSize="0" autoLine="0" autoPict="0">
                <anchor moveWithCells="1">
                  <from>
                    <xdr:col>3</xdr:col>
                    <xdr:colOff>22860</xdr:colOff>
                    <xdr:row>10</xdr:row>
                    <xdr:rowOff>38100</xdr:rowOff>
                  </from>
                  <to>
                    <xdr:col>3</xdr:col>
                    <xdr:colOff>1242060</xdr:colOff>
                    <xdr:row>10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98" r:id="rId4" name="Drop Down 2">
              <controlPr defaultSize="0" autoLine="0" autoPict="0">
                <anchor moveWithCells="1">
                  <from>
                    <xdr:col>5</xdr:col>
                    <xdr:colOff>15240</xdr:colOff>
                    <xdr:row>10</xdr:row>
                    <xdr:rowOff>121920</xdr:rowOff>
                  </from>
                  <to>
                    <xdr:col>6</xdr:col>
                    <xdr:colOff>601980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99" r:id="rId5" name="Drop Down 3">
              <controlPr defaultSize="0" autoLine="0" autoPict="0">
                <anchor moveWithCells="1">
                  <from>
                    <xdr:col>3</xdr:col>
                    <xdr:colOff>22860</xdr:colOff>
                    <xdr:row>11</xdr:row>
                    <xdr:rowOff>0</xdr:rowOff>
                  </from>
                  <to>
                    <xdr:col>3</xdr:col>
                    <xdr:colOff>1242060</xdr:colOff>
                    <xdr:row>11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0" r:id="rId6" name="Drop Down 4">
              <controlPr defaultSize="0" autoLine="0" autoPict="0">
                <anchor moveWithCells="1">
                  <from>
                    <xdr:col>4</xdr:col>
                    <xdr:colOff>22860</xdr:colOff>
                    <xdr:row>16</xdr:row>
                    <xdr:rowOff>0</xdr:rowOff>
                  </from>
                  <to>
                    <xdr:col>5</xdr:col>
                    <xdr:colOff>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1" r:id="rId7" name="Button 5">
              <controlPr defaultSize="0" print="0" autoFill="0" autoPict="0" macro="[0]!ADD">
                <anchor moveWithCells="1">
                  <from>
                    <xdr:col>12</xdr:col>
                    <xdr:colOff>60960</xdr:colOff>
                    <xdr:row>15</xdr:row>
                    <xdr:rowOff>533400</xdr:rowOff>
                  </from>
                  <to>
                    <xdr:col>13</xdr:col>
                    <xdr:colOff>426720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2" r:id="rId8" name="Button 6">
              <controlPr defaultSize="0" print="0" autoFill="0" autoPict="0">
                <anchor moveWithCells="1">
                  <from>
                    <xdr:col>4</xdr:col>
                    <xdr:colOff>45720</xdr:colOff>
                    <xdr:row>1</xdr:row>
                    <xdr:rowOff>137160</xdr:rowOff>
                  </from>
                  <to>
                    <xdr:col>4</xdr:col>
                    <xdr:colOff>563880</xdr:colOff>
                    <xdr:row>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3" r:id="rId9" name="Drop Down 7">
              <controlPr defaultSize="0" autoLine="0" autoPict="0">
                <anchor moveWithCells="1">
                  <from>
                    <xdr:col>3</xdr:col>
                    <xdr:colOff>22860</xdr:colOff>
                    <xdr:row>16</xdr:row>
                    <xdr:rowOff>0</xdr:rowOff>
                  </from>
                  <to>
                    <xdr:col>4</xdr:col>
                    <xdr:colOff>38100</xdr:colOff>
                    <xdr:row>17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4" r:id="rId10" name="Drop Down 8">
              <controlPr defaultSize="0" autoLine="0" autoPict="0">
                <anchor moveWithCells="1">
                  <from>
                    <xdr:col>3</xdr:col>
                    <xdr:colOff>22860</xdr:colOff>
                    <xdr:row>12</xdr:row>
                    <xdr:rowOff>0</xdr:rowOff>
                  </from>
                  <to>
                    <xdr:col>4</xdr:col>
                    <xdr:colOff>15240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5" r:id="rId11" name="Drop Down 9">
              <controlPr defaultSize="0" autoLine="0" autoPict="0">
                <anchor moveWithCells="1">
                  <from>
                    <xdr:col>5</xdr:col>
                    <xdr:colOff>22860</xdr:colOff>
                    <xdr:row>12</xdr:row>
                    <xdr:rowOff>0</xdr:rowOff>
                  </from>
                  <to>
                    <xdr:col>7</xdr:col>
                    <xdr:colOff>7620</xdr:colOff>
                    <xdr:row>12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showGridLines="0" workbookViewId="0">
      <selection activeCell="C14" sqref="C14:D14"/>
    </sheetView>
  </sheetViews>
  <sheetFormatPr defaultRowHeight="14.4" x14ac:dyDescent="0.3"/>
  <cols>
    <col min="3" max="3" width="17" bestFit="1" customWidth="1"/>
    <col min="4" max="4" width="22.77734375" bestFit="1" customWidth="1"/>
    <col min="5" max="5" width="17.21875" style="32" bestFit="1" customWidth="1"/>
    <col min="6" max="6" width="12.33203125" bestFit="1" customWidth="1"/>
    <col min="11" max="11" width="10.33203125" bestFit="1" customWidth="1"/>
    <col min="12" max="12" width="14.88671875" bestFit="1" customWidth="1"/>
  </cols>
  <sheetData>
    <row r="1" spans="1:13" x14ac:dyDescent="0.3">
      <c r="A1" s="2" t="s">
        <v>119</v>
      </c>
      <c r="C1" s="43"/>
      <c r="D1" s="44"/>
      <c r="E1" s="155"/>
      <c r="F1" s="44"/>
      <c r="G1" s="44"/>
      <c r="H1" s="44"/>
      <c r="I1" s="44"/>
      <c r="J1" s="44"/>
      <c r="K1" s="44"/>
      <c r="L1" s="44"/>
      <c r="M1" s="45"/>
    </row>
    <row r="2" spans="1:13" ht="28.8" x14ac:dyDescent="0.55000000000000004">
      <c r="A2" s="2"/>
      <c r="C2" s="46"/>
      <c r="D2" s="21"/>
      <c r="E2" s="156" t="s">
        <v>518</v>
      </c>
      <c r="F2" s="21"/>
      <c r="G2" s="157" t="s">
        <v>517</v>
      </c>
      <c r="H2" s="21"/>
      <c r="I2" s="21"/>
      <c r="J2" s="21"/>
      <c r="K2" s="21"/>
      <c r="L2" s="21"/>
      <c r="M2" s="48"/>
    </row>
    <row r="3" spans="1:13" x14ac:dyDescent="0.3">
      <c r="A3" s="2"/>
      <c r="C3" s="46"/>
      <c r="D3" s="21"/>
      <c r="E3" s="49"/>
      <c r="F3" s="21"/>
      <c r="G3" s="21"/>
      <c r="H3" s="21"/>
      <c r="I3" s="49" t="s">
        <v>112</v>
      </c>
      <c r="J3" s="3"/>
      <c r="K3" s="21" t="s">
        <v>113</v>
      </c>
      <c r="L3" s="3"/>
      <c r="M3" s="48"/>
    </row>
    <row r="4" spans="1:13" x14ac:dyDescent="0.3">
      <c r="C4" s="162" t="s">
        <v>514</v>
      </c>
      <c r="D4" s="20"/>
      <c r="E4" s="127"/>
      <c r="F4" s="127"/>
      <c r="G4" s="34"/>
      <c r="H4" s="21"/>
      <c r="I4" s="49" t="s">
        <v>508</v>
      </c>
      <c r="J4" s="3"/>
      <c r="K4" s="21" t="s">
        <v>113</v>
      </c>
      <c r="L4" s="3"/>
      <c r="M4" s="48"/>
    </row>
    <row r="5" spans="1:13" x14ac:dyDescent="0.3">
      <c r="C5" s="162" t="s">
        <v>92</v>
      </c>
      <c r="D5" s="150"/>
      <c r="E5" s="151"/>
      <c r="F5" s="152"/>
      <c r="G5" s="153"/>
      <c r="H5" s="21"/>
      <c r="I5" s="21"/>
      <c r="J5" s="21"/>
      <c r="K5" s="21" t="s">
        <v>513</v>
      </c>
      <c r="L5" s="3"/>
      <c r="M5" s="48"/>
    </row>
    <row r="6" spans="1:13" x14ac:dyDescent="0.3">
      <c r="C6" s="162" t="s">
        <v>114</v>
      </c>
      <c r="D6" s="129"/>
      <c r="E6" s="49"/>
      <c r="F6" s="49" t="s">
        <v>449</v>
      </c>
      <c r="G6" s="128"/>
      <c r="H6" s="21"/>
      <c r="I6" s="21"/>
      <c r="J6" s="21"/>
      <c r="K6" s="21"/>
      <c r="L6" s="21"/>
      <c r="M6" s="48"/>
    </row>
    <row r="7" spans="1:13" x14ac:dyDescent="0.3">
      <c r="C7" s="162" t="s">
        <v>450</v>
      </c>
      <c r="D7" s="128"/>
      <c r="E7" s="163" t="s">
        <v>451</v>
      </c>
      <c r="F7" s="35"/>
      <c r="G7" s="131"/>
      <c r="H7" s="21"/>
      <c r="I7" s="21"/>
      <c r="J7" s="21"/>
      <c r="K7" s="21"/>
      <c r="L7" s="21"/>
      <c r="M7" s="48"/>
    </row>
    <row r="8" spans="1:13" x14ac:dyDescent="0.3">
      <c r="C8" s="162" t="s">
        <v>442</v>
      </c>
      <c r="D8" s="128"/>
      <c r="E8" s="49" t="s">
        <v>115</v>
      </c>
      <c r="F8" s="35"/>
      <c r="G8" s="131"/>
      <c r="H8" s="21"/>
      <c r="I8" s="21"/>
      <c r="J8" s="21"/>
      <c r="K8" s="21"/>
      <c r="L8" s="21"/>
      <c r="M8" s="48"/>
    </row>
    <row r="9" spans="1:13" x14ac:dyDescent="0.3">
      <c r="C9" s="162" t="s">
        <v>452</v>
      </c>
      <c r="D9" s="128"/>
      <c r="E9" s="49" t="s">
        <v>94</v>
      </c>
      <c r="F9" s="35"/>
      <c r="G9" s="131"/>
      <c r="H9" s="21"/>
      <c r="I9" s="21"/>
      <c r="J9" s="21"/>
      <c r="K9" s="21"/>
      <c r="L9" s="21"/>
      <c r="M9" s="48"/>
    </row>
    <row r="10" spans="1:13" x14ac:dyDescent="0.3">
      <c r="C10" s="162" t="s">
        <v>453</v>
      </c>
      <c r="D10" s="128"/>
      <c r="E10" s="49" t="s">
        <v>96</v>
      </c>
      <c r="F10" s="35"/>
      <c r="G10" s="131"/>
      <c r="H10" s="21"/>
      <c r="I10" s="21"/>
      <c r="J10" s="21"/>
      <c r="K10" s="21"/>
      <c r="L10" s="21"/>
      <c r="M10" s="48"/>
    </row>
    <row r="11" spans="1:13" x14ac:dyDescent="0.3">
      <c r="C11" s="162" t="s">
        <v>440</v>
      </c>
      <c r="D11" s="3"/>
      <c r="E11" s="49" t="s">
        <v>468</v>
      </c>
      <c r="F11" s="20"/>
      <c r="G11" s="34"/>
      <c r="H11" s="21"/>
      <c r="I11" s="21"/>
      <c r="J11" s="21"/>
      <c r="K11" s="21"/>
      <c r="L11" s="21"/>
      <c r="M11" s="48"/>
    </row>
    <row r="12" spans="1:13" x14ac:dyDescent="0.3">
      <c r="C12" s="162" t="s">
        <v>458</v>
      </c>
      <c r="D12" s="3"/>
      <c r="E12" s="49" t="s">
        <v>541</v>
      </c>
      <c r="F12" s="20"/>
      <c r="G12" s="34"/>
      <c r="H12" s="21"/>
      <c r="I12" s="21"/>
      <c r="J12" s="21"/>
      <c r="K12" s="21"/>
      <c r="L12" s="21"/>
      <c r="M12" s="48"/>
    </row>
    <row r="13" spans="1:13" x14ac:dyDescent="0.3">
      <c r="C13" s="162" t="s">
        <v>535</v>
      </c>
      <c r="D13" s="3"/>
      <c r="E13" s="49" t="s">
        <v>542</v>
      </c>
      <c r="F13" s="20"/>
      <c r="G13" s="34"/>
      <c r="H13" s="21"/>
      <c r="I13" s="21"/>
      <c r="J13" s="21"/>
      <c r="K13" s="21"/>
      <c r="L13" s="21"/>
      <c r="M13" s="48"/>
    </row>
    <row r="14" spans="1:13" x14ac:dyDescent="0.3">
      <c r="C14" s="162" t="s">
        <v>543</v>
      </c>
      <c r="D14" s="3"/>
      <c r="E14" s="49"/>
      <c r="F14" s="21"/>
      <c r="G14" s="21"/>
      <c r="H14" s="21"/>
      <c r="I14" s="21"/>
      <c r="J14" s="21"/>
      <c r="K14" s="21"/>
      <c r="L14" s="21"/>
      <c r="M14" s="48"/>
    </row>
    <row r="15" spans="1:13" x14ac:dyDescent="0.3">
      <c r="C15" s="158"/>
      <c r="D15" s="21"/>
      <c r="E15" s="49"/>
      <c r="F15" s="21"/>
      <c r="G15" s="159"/>
      <c r="H15" s="21"/>
      <c r="I15" s="21"/>
      <c r="J15" s="21"/>
      <c r="K15" s="21"/>
      <c r="L15" s="21"/>
      <c r="M15" s="48"/>
    </row>
    <row r="16" spans="1:13" ht="43.2" x14ac:dyDescent="0.3">
      <c r="C16" s="158"/>
      <c r="D16" s="6" t="s">
        <v>454</v>
      </c>
      <c r="E16" s="139" t="s">
        <v>462</v>
      </c>
      <c r="F16" s="133" t="s">
        <v>140</v>
      </c>
      <c r="G16" s="6" t="s">
        <v>457</v>
      </c>
      <c r="H16" s="138" t="s">
        <v>461</v>
      </c>
      <c r="I16" s="6" t="s">
        <v>146</v>
      </c>
      <c r="J16" s="140" t="s">
        <v>467</v>
      </c>
      <c r="K16" s="138" t="s">
        <v>516</v>
      </c>
      <c r="L16" s="140" t="s">
        <v>469</v>
      </c>
      <c r="M16" s="48"/>
    </row>
    <row r="17" spans="3:13" x14ac:dyDescent="0.3">
      <c r="C17" s="158"/>
      <c r="D17" s="3" t="s">
        <v>455</v>
      </c>
      <c r="E17" s="132" t="s">
        <v>37</v>
      </c>
      <c r="F17" s="132" t="s">
        <v>448</v>
      </c>
      <c r="G17" s="3">
        <v>1</v>
      </c>
      <c r="H17" s="3">
        <v>2828</v>
      </c>
      <c r="I17" s="3" t="s">
        <v>337</v>
      </c>
      <c r="J17" s="3">
        <f>H17*G17</f>
        <v>2828</v>
      </c>
      <c r="K17" s="3">
        <v>129</v>
      </c>
      <c r="L17" s="3">
        <f>K17*H17*G17</f>
        <v>364812</v>
      </c>
      <c r="M17" s="48"/>
    </row>
    <row r="18" spans="3:13" x14ac:dyDescent="0.3">
      <c r="C18" s="158"/>
      <c r="D18" s="3" t="s">
        <v>455</v>
      </c>
      <c r="E18" s="132" t="s">
        <v>40</v>
      </c>
      <c r="F18" s="132" t="s">
        <v>448</v>
      </c>
      <c r="G18" s="3">
        <v>2</v>
      </c>
      <c r="H18" s="3">
        <v>5252</v>
      </c>
      <c r="I18" s="3" t="s">
        <v>337</v>
      </c>
      <c r="J18" s="3">
        <f t="shared" ref="J18:J27" si="0">H18*G18</f>
        <v>10504</v>
      </c>
      <c r="K18" s="3">
        <v>129</v>
      </c>
      <c r="L18" s="3">
        <f t="shared" ref="L18:L27" si="1">K18*H18*G18</f>
        <v>1355016</v>
      </c>
      <c r="M18" s="48"/>
    </row>
    <row r="19" spans="3:13" x14ac:dyDescent="0.3">
      <c r="C19" s="158"/>
      <c r="D19" s="3" t="s">
        <v>455</v>
      </c>
      <c r="E19" s="132" t="s">
        <v>38</v>
      </c>
      <c r="F19" s="132" t="s">
        <v>448</v>
      </c>
      <c r="G19" s="3">
        <v>5</v>
      </c>
      <c r="H19" s="3">
        <v>5252</v>
      </c>
      <c r="I19" s="3" t="s">
        <v>337</v>
      </c>
      <c r="J19" s="3">
        <f t="shared" si="0"/>
        <v>26260</v>
      </c>
      <c r="K19" s="3">
        <v>129</v>
      </c>
      <c r="L19" s="3">
        <f t="shared" si="1"/>
        <v>3387540</v>
      </c>
      <c r="M19" s="48"/>
    </row>
    <row r="20" spans="3:13" x14ac:dyDescent="0.3">
      <c r="C20" s="158"/>
      <c r="D20" s="3" t="s">
        <v>460</v>
      </c>
      <c r="E20" s="132" t="s">
        <v>37</v>
      </c>
      <c r="F20" s="132" t="s">
        <v>448</v>
      </c>
      <c r="G20" s="3">
        <v>1</v>
      </c>
      <c r="H20" s="3">
        <v>13</v>
      </c>
      <c r="I20" s="3" t="s">
        <v>337</v>
      </c>
      <c r="J20" s="3">
        <f t="shared" si="0"/>
        <v>13</v>
      </c>
      <c r="K20" s="3">
        <v>129</v>
      </c>
      <c r="L20" s="3">
        <f t="shared" si="1"/>
        <v>1677</v>
      </c>
      <c r="M20" s="48"/>
    </row>
    <row r="21" spans="3:13" x14ac:dyDescent="0.3">
      <c r="C21" s="158"/>
      <c r="D21" s="3" t="s">
        <v>460</v>
      </c>
      <c r="E21" s="132" t="s">
        <v>40</v>
      </c>
      <c r="F21" s="132" t="s">
        <v>448</v>
      </c>
      <c r="G21" s="3">
        <v>2</v>
      </c>
      <c r="H21" s="3">
        <v>13</v>
      </c>
      <c r="I21" s="3" t="s">
        <v>337</v>
      </c>
      <c r="J21" s="3">
        <f t="shared" si="0"/>
        <v>26</v>
      </c>
      <c r="K21" s="3">
        <v>129</v>
      </c>
      <c r="L21" s="3">
        <f t="shared" si="1"/>
        <v>3354</v>
      </c>
      <c r="M21" s="48"/>
    </row>
    <row r="22" spans="3:13" x14ac:dyDescent="0.3">
      <c r="C22" s="158"/>
      <c r="D22" s="3" t="s">
        <v>460</v>
      </c>
      <c r="E22" s="132" t="s">
        <v>38</v>
      </c>
      <c r="F22" s="132" t="s">
        <v>448</v>
      </c>
      <c r="G22" s="3">
        <v>5</v>
      </c>
      <c r="H22" s="3">
        <v>13</v>
      </c>
      <c r="I22" s="3" t="s">
        <v>337</v>
      </c>
      <c r="J22" s="3">
        <f t="shared" si="0"/>
        <v>65</v>
      </c>
      <c r="K22" s="3">
        <v>129</v>
      </c>
      <c r="L22" s="3">
        <f t="shared" si="1"/>
        <v>8385</v>
      </c>
      <c r="M22" s="48"/>
    </row>
    <row r="23" spans="3:13" x14ac:dyDescent="0.3">
      <c r="C23" s="158"/>
      <c r="D23" s="3" t="s">
        <v>464</v>
      </c>
      <c r="E23" s="132"/>
      <c r="F23" s="135" t="s">
        <v>456</v>
      </c>
      <c r="G23" s="3">
        <v>1</v>
      </c>
      <c r="H23" s="3">
        <v>30</v>
      </c>
      <c r="I23" s="3" t="s">
        <v>337</v>
      </c>
      <c r="J23" s="3">
        <f t="shared" si="0"/>
        <v>30</v>
      </c>
      <c r="K23" s="3">
        <v>129</v>
      </c>
      <c r="L23" s="3">
        <f t="shared" si="1"/>
        <v>3870</v>
      </c>
      <c r="M23" s="48"/>
    </row>
    <row r="24" spans="3:13" x14ac:dyDescent="0.3">
      <c r="C24" s="158"/>
      <c r="D24" s="3" t="s">
        <v>463</v>
      </c>
      <c r="E24" s="132"/>
      <c r="F24" s="135" t="s">
        <v>456</v>
      </c>
      <c r="G24" s="3">
        <v>1</v>
      </c>
      <c r="H24" s="3">
        <v>20</v>
      </c>
      <c r="I24" s="3" t="s">
        <v>337</v>
      </c>
      <c r="J24" s="3">
        <f t="shared" si="0"/>
        <v>20</v>
      </c>
      <c r="K24" s="3">
        <v>129</v>
      </c>
      <c r="L24" s="3">
        <f t="shared" si="1"/>
        <v>2580</v>
      </c>
      <c r="M24" s="48"/>
    </row>
    <row r="25" spans="3:13" x14ac:dyDescent="0.3">
      <c r="C25" s="158"/>
      <c r="D25" s="80" t="s">
        <v>473</v>
      </c>
      <c r="E25" s="132" t="s">
        <v>37</v>
      </c>
      <c r="F25" s="132" t="s">
        <v>448</v>
      </c>
      <c r="G25" s="80">
        <v>1</v>
      </c>
      <c r="H25" s="80">
        <v>150</v>
      </c>
      <c r="I25" s="3" t="s">
        <v>337</v>
      </c>
      <c r="J25" s="3">
        <f t="shared" si="0"/>
        <v>150</v>
      </c>
      <c r="K25" s="3">
        <v>129</v>
      </c>
      <c r="L25" s="3">
        <f t="shared" si="1"/>
        <v>19350</v>
      </c>
      <c r="M25" s="48"/>
    </row>
    <row r="26" spans="3:13" x14ac:dyDescent="0.3">
      <c r="C26" s="158"/>
      <c r="D26" s="80" t="s">
        <v>473</v>
      </c>
      <c r="E26" s="132" t="s">
        <v>40</v>
      </c>
      <c r="F26" s="132" t="s">
        <v>448</v>
      </c>
      <c r="G26" s="3">
        <v>1</v>
      </c>
      <c r="H26" s="80">
        <v>50</v>
      </c>
      <c r="I26" s="3" t="s">
        <v>337</v>
      </c>
      <c r="J26" s="83">
        <f t="shared" si="0"/>
        <v>50</v>
      </c>
      <c r="K26" s="3">
        <v>129</v>
      </c>
      <c r="L26" s="3">
        <f t="shared" si="1"/>
        <v>6450</v>
      </c>
      <c r="M26" s="48"/>
    </row>
    <row r="27" spans="3:13" x14ac:dyDescent="0.3">
      <c r="C27" s="158"/>
      <c r="D27" s="80" t="s">
        <v>473</v>
      </c>
      <c r="E27" s="132" t="s">
        <v>38</v>
      </c>
      <c r="F27" s="132" t="s">
        <v>448</v>
      </c>
      <c r="G27" s="3">
        <v>2</v>
      </c>
      <c r="H27" s="80">
        <v>50</v>
      </c>
      <c r="I27" s="3" t="s">
        <v>337</v>
      </c>
      <c r="J27" s="80">
        <f t="shared" si="0"/>
        <v>100</v>
      </c>
      <c r="K27" s="3">
        <v>129</v>
      </c>
      <c r="L27" s="3">
        <f t="shared" si="1"/>
        <v>12900</v>
      </c>
      <c r="M27" s="48"/>
    </row>
    <row r="28" spans="3:13" x14ac:dyDescent="0.3">
      <c r="C28" s="158"/>
      <c r="D28" s="21"/>
      <c r="E28" s="49"/>
      <c r="F28" s="21"/>
      <c r="G28" s="21"/>
      <c r="H28" s="21"/>
      <c r="I28" s="21"/>
      <c r="J28" s="72">
        <f>SUM(J17:J27)</f>
        <v>40046</v>
      </c>
      <c r="K28" s="72"/>
      <c r="L28" s="72">
        <f>SUM(L17:L27)</f>
        <v>5165934</v>
      </c>
      <c r="M28" s="48"/>
    </row>
    <row r="29" spans="3:13" x14ac:dyDescent="0.3">
      <c r="C29" s="158"/>
      <c r="D29" s="21"/>
      <c r="E29" s="49"/>
      <c r="F29" s="21"/>
      <c r="G29" s="21"/>
      <c r="H29" s="21"/>
      <c r="I29" s="21"/>
      <c r="J29" s="21"/>
      <c r="K29" s="21"/>
      <c r="L29" s="21"/>
      <c r="M29" s="48"/>
    </row>
    <row r="30" spans="3:13" x14ac:dyDescent="0.3">
      <c r="C30" s="158"/>
      <c r="D30" s="142" t="s">
        <v>515</v>
      </c>
      <c r="E30" s="49"/>
      <c r="F30" s="21"/>
      <c r="G30" s="21"/>
      <c r="H30" s="21"/>
      <c r="I30" s="21"/>
      <c r="J30" s="21"/>
      <c r="K30" s="21"/>
      <c r="L30" s="154"/>
      <c r="M30" s="48"/>
    </row>
    <row r="31" spans="3:13" x14ac:dyDescent="0.3">
      <c r="C31" s="46"/>
      <c r="D31" s="21"/>
      <c r="E31" s="49"/>
      <c r="F31" s="21"/>
      <c r="G31" s="21"/>
      <c r="H31" s="21"/>
      <c r="I31" s="21"/>
      <c r="J31" s="21"/>
      <c r="K31" s="21"/>
      <c r="L31" s="14"/>
      <c r="M31" s="160"/>
    </row>
    <row r="32" spans="3:13" s="21" customFormat="1" ht="16.8" customHeight="1" x14ac:dyDescent="0.3">
      <c r="C32" s="46"/>
      <c r="D32" s="142" t="s">
        <v>459</v>
      </c>
      <c r="E32" s="49"/>
      <c r="M32" s="48"/>
    </row>
    <row r="33" spans="3:13" s="21" customFormat="1" ht="16.8" customHeight="1" x14ac:dyDescent="0.3">
      <c r="C33" s="46"/>
      <c r="D33" s="14" t="s">
        <v>519</v>
      </c>
      <c r="E33" s="49"/>
      <c r="M33" s="48"/>
    </row>
    <row r="34" spans="3:13" x14ac:dyDescent="0.3">
      <c r="C34" s="46"/>
      <c r="D34" s="14" t="s">
        <v>520</v>
      </c>
      <c r="E34" s="49"/>
      <c r="F34" s="21"/>
      <c r="G34" s="21"/>
      <c r="H34" s="21"/>
      <c r="I34" s="21"/>
      <c r="J34" s="21"/>
      <c r="K34" s="21"/>
      <c r="L34" s="21"/>
      <c r="M34" s="48"/>
    </row>
    <row r="35" spans="3:13" x14ac:dyDescent="0.3">
      <c r="C35" s="46"/>
      <c r="D35" s="14" t="s">
        <v>521</v>
      </c>
      <c r="E35" s="37"/>
      <c r="F35" s="137"/>
      <c r="G35" s="37"/>
      <c r="H35" s="14"/>
      <c r="I35" s="14"/>
      <c r="J35" s="14"/>
      <c r="K35" s="14"/>
      <c r="L35" s="21"/>
      <c r="M35" s="48"/>
    </row>
    <row r="36" spans="3:13" x14ac:dyDescent="0.3">
      <c r="C36" s="46"/>
      <c r="D36" s="21"/>
      <c r="E36" s="49"/>
      <c r="F36" s="49"/>
      <c r="G36" s="134"/>
      <c r="H36" s="21"/>
      <c r="I36" s="21"/>
      <c r="J36" s="21"/>
      <c r="K36" s="21"/>
      <c r="L36" s="21"/>
      <c r="M36" s="48"/>
    </row>
    <row r="37" spans="3:13" x14ac:dyDescent="0.3">
      <c r="C37" s="46"/>
      <c r="D37" s="14" t="s">
        <v>522</v>
      </c>
      <c r="E37" s="21"/>
      <c r="F37" s="49"/>
      <c r="G37" s="21"/>
      <c r="H37" s="21"/>
      <c r="I37" s="21"/>
      <c r="J37" s="21"/>
      <c r="K37" s="21"/>
      <c r="L37" s="21"/>
      <c r="M37" s="48"/>
    </row>
    <row r="38" spans="3:13" x14ac:dyDescent="0.3">
      <c r="C38" s="46"/>
      <c r="D38" s="21"/>
      <c r="E38" s="49"/>
      <c r="F38" s="21"/>
      <c r="G38" s="21"/>
      <c r="H38" s="21"/>
      <c r="I38" s="21"/>
      <c r="J38" s="21"/>
      <c r="K38" s="21"/>
      <c r="L38" s="21"/>
      <c r="M38" s="48"/>
    </row>
    <row r="39" spans="3:13" x14ac:dyDescent="0.3">
      <c r="C39" s="46"/>
      <c r="D39" s="14" t="s">
        <v>523</v>
      </c>
      <c r="E39" s="49"/>
      <c r="F39" s="21"/>
      <c r="G39" s="21"/>
      <c r="H39" s="21"/>
      <c r="I39" s="21"/>
      <c r="J39" s="21"/>
      <c r="K39" s="21"/>
      <c r="L39" s="21"/>
      <c r="M39" s="48"/>
    </row>
    <row r="40" spans="3:13" x14ac:dyDescent="0.3">
      <c r="C40" s="46"/>
      <c r="D40" s="21"/>
      <c r="E40" s="49"/>
      <c r="F40" s="21"/>
      <c r="G40" s="21"/>
      <c r="H40" s="21"/>
      <c r="I40" s="21"/>
      <c r="J40" s="21"/>
      <c r="K40" s="21"/>
      <c r="L40" s="21"/>
      <c r="M40" s="48"/>
    </row>
    <row r="41" spans="3:13" x14ac:dyDescent="0.3">
      <c r="C41" s="50"/>
      <c r="D41" s="1"/>
      <c r="E41" s="161"/>
      <c r="F41" s="1"/>
      <c r="G41" s="1"/>
      <c r="H41" s="1"/>
      <c r="I41" s="1"/>
      <c r="J41" s="1"/>
      <c r="K41" s="1"/>
      <c r="L41" s="1"/>
      <c r="M41" s="51"/>
    </row>
    <row r="43" spans="3:13" x14ac:dyDescent="0.3">
      <c r="K43" s="2" t="s">
        <v>176</v>
      </c>
    </row>
  </sheetData>
  <hyperlinks>
    <hyperlink ref="A1" location="Menu!A1" display="Menu"/>
    <hyperlink ref="K43" location="'Quotation List'!A1" display="Back to list"/>
  </hyperlink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1"/>
  <sheetViews>
    <sheetView showGridLines="0" workbookViewId="0"/>
  </sheetViews>
  <sheetFormatPr defaultRowHeight="14.4" x14ac:dyDescent="0.3"/>
  <cols>
    <col min="2" max="2" width="9.44140625" bestFit="1" customWidth="1"/>
    <col min="3" max="3" width="12.21875" bestFit="1" customWidth="1"/>
    <col min="4" max="4" width="12.5546875" bestFit="1" customWidth="1"/>
    <col min="5" max="5" width="8.88671875" bestFit="1" customWidth="1"/>
    <col min="6" max="6" width="10.44140625" style="32" bestFit="1" customWidth="1"/>
    <col min="7" max="7" width="12.33203125" bestFit="1" customWidth="1"/>
    <col min="8" max="8" width="9.77734375" bestFit="1" customWidth="1"/>
    <col min="9" max="9" width="9" bestFit="1" customWidth="1"/>
    <col min="10" max="10" width="17.33203125" bestFit="1" customWidth="1"/>
    <col min="11" max="11" width="10.33203125" bestFit="1" customWidth="1"/>
    <col min="12" max="12" width="6" bestFit="1" customWidth="1"/>
    <col min="13" max="13" width="6.44140625" bestFit="1" customWidth="1"/>
    <col min="14" max="14" width="4.109375" bestFit="1" customWidth="1"/>
  </cols>
  <sheetData>
    <row r="1" spans="1:16" x14ac:dyDescent="0.3">
      <c r="A1" s="2" t="s">
        <v>119</v>
      </c>
    </row>
    <row r="2" spans="1:16" x14ac:dyDescent="0.3">
      <c r="I2" s="21"/>
      <c r="J2" s="21"/>
      <c r="K2" s="21"/>
      <c r="L2" s="21"/>
      <c r="M2" s="21"/>
    </row>
    <row r="3" spans="1:16" x14ac:dyDescent="0.3">
      <c r="B3" s="40"/>
      <c r="C3" s="41"/>
      <c r="D3" s="41"/>
      <c r="E3" s="41"/>
      <c r="F3" s="41"/>
      <c r="G3" s="41"/>
      <c r="H3" s="41"/>
      <c r="I3" s="41"/>
      <c r="J3" s="41" t="s">
        <v>507</v>
      </c>
      <c r="K3" s="41"/>
      <c r="L3" s="41"/>
      <c r="M3" s="41"/>
      <c r="N3" s="42"/>
    </row>
    <row r="4" spans="1:16" x14ac:dyDescent="0.3">
      <c r="F4"/>
    </row>
    <row r="5" spans="1:16" x14ac:dyDescent="0.3">
      <c r="F5"/>
      <c r="G5" s="32"/>
    </row>
    <row r="6" spans="1:16" x14ac:dyDescent="0.3">
      <c r="F6"/>
      <c r="M6" s="3" t="s">
        <v>55</v>
      </c>
      <c r="N6" s="20"/>
      <c r="O6" s="33"/>
      <c r="P6" s="34"/>
    </row>
    <row r="7" spans="1:16" ht="28.8" x14ac:dyDescent="0.3">
      <c r="B7" s="6" t="s">
        <v>112</v>
      </c>
      <c r="C7" s="6" t="s">
        <v>508</v>
      </c>
      <c r="D7" s="6" t="s">
        <v>509</v>
      </c>
      <c r="E7" s="6" t="s">
        <v>92</v>
      </c>
      <c r="F7" s="6" t="s">
        <v>115</v>
      </c>
      <c r="G7" s="6" t="s">
        <v>114</v>
      </c>
      <c r="H7" s="6" t="s">
        <v>398</v>
      </c>
      <c r="I7" s="6" t="s">
        <v>399</v>
      </c>
      <c r="J7" s="6" t="s">
        <v>116</v>
      </c>
      <c r="K7" s="140" t="s">
        <v>117</v>
      </c>
      <c r="L7" s="6" t="s">
        <v>111</v>
      </c>
      <c r="M7" s="357" t="s">
        <v>118</v>
      </c>
      <c r="N7" s="358"/>
      <c r="O7" s="358"/>
      <c r="P7" s="358"/>
    </row>
    <row r="8" spans="1:16" x14ac:dyDescent="0.3">
      <c r="B8" s="117" t="s">
        <v>365</v>
      </c>
      <c r="C8" s="118"/>
      <c r="D8" s="3"/>
      <c r="E8" s="3"/>
      <c r="F8" s="3"/>
      <c r="G8" s="3" t="s">
        <v>371</v>
      </c>
      <c r="H8" s="3" t="s">
        <v>372</v>
      </c>
      <c r="I8" s="3" t="s">
        <v>373</v>
      </c>
      <c r="J8" s="3" t="s">
        <v>393</v>
      </c>
      <c r="K8" s="3"/>
      <c r="L8" s="3"/>
      <c r="M8" s="2" t="s">
        <v>439</v>
      </c>
      <c r="N8" s="124" t="s">
        <v>434</v>
      </c>
      <c r="O8" s="80" t="s">
        <v>436</v>
      </c>
      <c r="P8" s="124" t="s">
        <v>510</v>
      </c>
    </row>
    <row r="9" spans="1:16" x14ac:dyDescent="0.3">
      <c r="B9" s="117" t="s">
        <v>366</v>
      </c>
      <c r="C9" s="118"/>
      <c r="D9" s="3"/>
      <c r="E9" s="3"/>
      <c r="F9" s="3"/>
      <c r="G9" s="3" t="s">
        <v>371</v>
      </c>
      <c r="H9" s="3" t="s">
        <v>372</v>
      </c>
      <c r="I9" s="3" t="s">
        <v>373</v>
      </c>
      <c r="J9" s="3" t="s">
        <v>394</v>
      </c>
      <c r="K9" s="3"/>
      <c r="L9" s="3"/>
      <c r="M9" s="3" t="s">
        <v>439</v>
      </c>
      <c r="N9" s="80" t="s">
        <v>434</v>
      </c>
      <c r="O9" s="80" t="s">
        <v>436</v>
      </c>
      <c r="P9" s="80" t="s">
        <v>510</v>
      </c>
    </row>
    <row r="10" spans="1:16" x14ac:dyDescent="0.3">
      <c r="B10" s="117" t="s">
        <v>367</v>
      </c>
      <c r="C10" s="118"/>
      <c r="D10" s="3"/>
      <c r="E10" s="3"/>
      <c r="F10" s="3"/>
      <c r="G10" s="3" t="s">
        <v>98</v>
      </c>
      <c r="H10" s="3" t="s">
        <v>374</v>
      </c>
      <c r="I10" s="3" t="s">
        <v>375</v>
      </c>
      <c r="J10" s="3" t="s">
        <v>392</v>
      </c>
      <c r="K10" s="3"/>
      <c r="L10" s="3"/>
      <c r="M10" s="3" t="s">
        <v>439</v>
      </c>
      <c r="N10" s="80" t="s">
        <v>434</v>
      </c>
      <c r="O10" s="80" t="s">
        <v>436</v>
      </c>
      <c r="P10" s="80" t="s">
        <v>510</v>
      </c>
    </row>
    <row r="11" spans="1:16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439</v>
      </c>
      <c r="N11" s="80" t="s">
        <v>434</v>
      </c>
      <c r="O11" s="80" t="s">
        <v>436</v>
      </c>
      <c r="P11" s="80" t="s">
        <v>510</v>
      </c>
    </row>
    <row r="13" spans="1:16" x14ac:dyDescent="0.3">
      <c r="M13" s="2" t="s">
        <v>525</v>
      </c>
    </row>
    <row r="15" spans="1:16" x14ac:dyDescent="0.3">
      <c r="C15" s="21"/>
      <c r="D15" s="21"/>
      <c r="E15" s="21"/>
      <c r="F15" s="49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 spans="1:16" x14ac:dyDescent="0.3">
      <c r="C16" s="21"/>
      <c r="D16" s="21"/>
      <c r="E16" s="21"/>
      <c r="F16" s="49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spans="3:16" s="204" customFormat="1" x14ac:dyDescent="0.3">
      <c r="C17" s="206"/>
      <c r="D17" s="206"/>
      <c r="E17" s="206"/>
      <c r="F17" s="207"/>
      <c r="G17" s="206"/>
      <c r="H17" s="206"/>
      <c r="I17" s="206"/>
      <c r="J17" s="206"/>
      <c r="K17" s="206"/>
      <c r="L17" s="206"/>
      <c r="M17" s="206"/>
      <c r="N17" s="206"/>
      <c r="O17" s="206"/>
      <c r="P17" s="206"/>
    </row>
    <row r="18" spans="3:16" x14ac:dyDescent="0.3">
      <c r="C18" s="21"/>
      <c r="D18" s="21"/>
      <c r="E18" s="21"/>
      <c r="F18" s="49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3:16" x14ac:dyDescent="0.3">
      <c r="C19" s="21"/>
      <c r="D19" s="21"/>
      <c r="E19" s="21"/>
      <c r="F19" s="49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3:16" x14ac:dyDescent="0.3">
      <c r="C20" s="21"/>
      <c r="D20" s="21"/>
      <c r="E20" s="21"/>
      <c r="F20" s="49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3:16" x14ac:dyDescent="0.3">
      <c r="C21" s="21"/>
      <c r="D21" s="21"/>
      <c r="E21" s="21"/>
      <c r="F21" s="49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3:16" x14ac:dyDescent="0.3">
      <c r="C22" s="21"/>
      <c r="D22" s="21"/>
      <c r="E22" s="21"/>
      <c r="F22" s="49"/>
      <c r="G22" s="21"/>
      <c r="H22" s="21"/>
      <c r="I22" s="21"/>
      <c r="J22" s="21"/>
      <c r="K22" s="21"/>
      <c r="L22" s="21"/>
      <c r="M22" s="21"/>
      <c r="N22" s="21"/>
      <c r="O22" s="21"/>
      <c r="P22" s="21"/>
    </row>
    <row r="23" spans="3:16" x14ac:dyDescent="0.3">
      <c r="C23" s="21"/>
      <c r="D23" s="21"/>
      <c r="E23" s="21"/>
      <c r="F23" s="49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3:16" x14ac:dyDescent="0.3">
      <c r="C24" s="21"/>
      <c r="D24" s="21"/>
      <c r="E24" s="21"/>
      <c r="F24" s="49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3:16" x14ac:dyDescent="0.3">
      <c r="C25" s="21"/>
      <c r="D25" s="21"/>
      <c r="E25" s="21"/>
      <c r="F25" s="49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3:16" x14ac:dyDescent="0.3">
      <c r="C26" s="21"/>
      <c r="D26" s="21"/>
      <c r="E26" s="21"/>
      <c r="F26" s="49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3:16" x14ac:dyDescent="0.3">
      <c r="C27" s="21"/>
      <c r="D27" s="21"/>
      <c r="E27" s="21"/>
      <c r="F27" s="49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3:16" x14ac:dyDescent="0.3">
      <c r="C28" s="21"/>
      <c r="D28" s="21"/>
      <c r="E28" s="21"/>
      <c r="F28" s="49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3:16" x14ac:dyDescent="0.3">
      <c r="C29" s="21"/>
      <c r="D29" s="21"/>
      <c r="E29" s="21"/>
      <c r="F29" s="49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3:16" x14ac:dyDescent="0.3">
      <c r="C30" s="21"/>
      <c r="D30" s="21"/>
      <c r="E30" s="21"/>
      <c r="F30" s="49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3:16" x14ac:dyDescent="0.3">
      <c r="C31" s="21"/>
      <c r="D31" s="21"/>
      <c r="E31" s="21"/>
      <c r="F31" s="49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3:16" x14ac:dyDescent="0.3">
      <c r="C32" s="21"/>
      <c r="D32" s="21"/>
      <c r="E32" s="21"/>
      <c r="F32" s="49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3:16" x14ac:dyDescent="0.3">
      <c r="C33" s="21"/>
      <c r="D33" s="21"/>
      <c r="E33" s="21"/>
      <c r="F33" s="49"/>
      <c r="G33" s="21"/>
      <c r="H33" s="21"/>
      <c r="I33" s="21"/>
      <c r="J33" s="21"/>
      <c r="K33" s="21"/>
      <c r="L33" s="21"/>
      <c r="M33" s="21"/>
      <c r="N33" s="21"/>
      <c r="O33" s="21"/>
      <c r="P33" s="21"/>
    </row>
    <row r="34" spans="3:16" x14ac:dyDescent="0.3">
      <c r="C34" s="21"/>
      <c r="D34" s="21"/>
      <c r="E34" s="21"/>
      <c r="F34" s="49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3:16" x14ac:dyDescent="0.3">
      <c r="C35" s="21"/>
      <c r="D35" s="21"/>
      <c r="E35" s="21"/>
      <c r="F35" s="49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3:16" x14ac:dyDescent="0.3">
      <c r="C36" s="21"/>
      <c r="D36" s="21"/>
      <c r="E36" s="21"/>
      <c r="F36" s="49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3:16" x14ac:dyDescent="0.3">
      <c r="C37" s="21"/>
      <c r="D37" s="21"/>
      <c r="E37" s="21"/>
      <c r="F37" s="49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3:16" x14ac:dyDescent="0.3">
      <c r="C38" s="21"/>
      <c r="D38" s="21"/>
      <c r="E38" s="21"/>
      <c r="F38" s="49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3:16" x14ac:dyDescent="0.3">
      <c r="C39" s="21"/>
      <c r="D39" s="21"/>
      <c r="E39" s="21"/>
      <c r="F39" s="49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spans="3:16" x14ac:dyDescent="0.3">
      <c r="C40" s="21"/>
      <c r="D40" s="21"/>
      <c r="E40" s="21"/>
      <c r="F40" s="49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3:16" x14ac:dyDescent="0.3">
      <c r="C41" s="21"/>
      <c r="D41" s="21"/>
      <c r="E41" s="21"/>
      <c r="F41" s="49"/>
      <c r="G41" s="21"/>
      <c r="H41" s="21"/>
      <c r="I41" s="21"/>
      <c r="J41" s="21"/>
      <c r="K41" s="21"/>
      <c r="L41" s="21"/>
      <c r="M41" s="21"/>
      <c r="N41" s="21"/>
      <c r="O41" s="21"/>
      <c r="P41" s="21"/>
    </row>
  </sheetData>
  <mergeCells count="1">
    <mergeCell ref="M7:P7"/>
  </mergeCells>
  <hyperlinks>
    <hyperlink ref="A1" location="Menu!A1" display="Menu"/>
    <hyperlink ref="M8" location="'Quotation PDF for emal'!A1" display="View "/>
    <hyperlink ref="M13" location="Quotation!A1" display="Back to Quotation"/>
    <hyperlink ref="N8" location="Quotation!A1" display="Edit"/>
    <hyperlink ref="P8" location="'Shipment Booking'!A1" display="Booking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353" r:id="rId3" name="Drop Down 1">
              <controlPr defaultSize="0" autoLine="0" autoPict="0">
                <anchor moveWithCells="1">
                  <from>
                    <xdr:col>3</xdr:col>
                    <xdr:colOff>22860</xdr:colOff>
                    <xdr:row>1</xdr:row>
                    <xdr:rowOff>0</xdr:rowOff>
                  </from>
                  <to>
                    <xdr:col>4</xdr:col>
                    <xdr:colOff>381000</xdr:colOff>
                    <xdr:row>1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4"/>
  <sheetViews>
    <sheetView showGridLines="0" zoomScaleNormal="100" workbookViewId="0"/>
  </sheetViews>
  <sheetFormatPr defaultRowHeight="14.4" x14ac:dyDescent="0.3"/>
  <cols>
    <col min="3" max="3" width="17" bestFit="1" customWidth="1"/>
    <col min="4" max="4" width="22.77734375" bestFit="1" customWidth="1"/>
    <col min="5" max="5" width="17.21875" style="32" bestFit="1" customWidth="1"/>
    <col min="6" max="6" width="12.33203125" bestFit="1" customWidth="1"/>
    <col min="11" max="11" width="4" customWidth="1"/>
    <col min="12" max="13" width="4.109375" customWidth="1"/>
    <col min="16" max="16" width="11.6640625" bestFit="1" customWidth="1"/>
  </cols>
  <sheetData>
    <row r="1" spans="1:14" x14ac:dyDescent="0.3">
      <c r="A1" s="2" t="s">
        <v>119</v>
      </c>
    </row>
    <row r="2" spans="1:14" x14ac:dyDescent="0.3">
      <c r="A2" s="2"/>
      <c r="F2" s="63" t="s">
        <v>653</v>
      </c>
      <c r="G2" s="63"/>
    </row>
    <row r="3" spans="1:14" x14ac:dyDescent="0.3">
      <c r="C3" s="32" t="s">
        <v>508</v>
      </c>
      <c r="D3" s="128"/>
      <c r="E3" s="181"/>
      <c r="F3" s="49"/>
      <c r="G3" s="21"/>
    </row>
    <row r="4" spans="1:14" x14ac:dyDescent="0.3">
      <c r="C4" s="32" t="s">
        <v>114</v>
      </c>
      <c r="D4" s="129" t="s">
        <v>658</v>
      </c>
    </row>
    <row r="5" spans="1:14" x14ac:dyDescent="0.3">
      <c r="C5" s="32" t="s">
        <v>92</v>
      </c>
      <c r="D5" s="35"/>
      <c r="E5" s="130"/>
      <c r="F5" s="36"/>
      <c r="G5" s="131"/>
      <c r="N5" t="s">
        <v>57</v>
      </c>
    </row>
    <row r="6" spans="1:14" x14ac:dyDescent="0.3">
      <c r="C6" s="32" t="s">
        <v>528</v>
      </c>
      <c r="D6" s="14"/>
      <c r="E6" s="37"/>
      <c r="F6" s="14" t="s">
        <v>529</v>
      </c>
      <c r="G6" s="14"/>
      <c r="N6" t="s">
        <v>655</v>
      </c>
    </row>
    <row r="7" spans="1:14" x14ac:dyDescent="0.3">
      <c r="C7" s="32"/>
      <c r="D7" s="179" t="s">
        <v>170</v>
      </c>
      <c r="E7" s="180"/>
      <c r="F7" s="14"/>
      <c r="G7" s="169" t="s">
        <v>170</v>
      </c>
      <c r="H7" s="170"/>
      <c r="I7" s="171"/>
      <c r="J7" s="172"/>
      <c r="N7" t="s">
        <v>654</v>
      </c>
    </row>
    <row r="8" spans="1:14" x14ac:dyDescent="0.3">
      <c r="C8" s="32"/>
      <c r="D8" s="120"/>
      <c r="E8" s="166"/>
      <c r="F8" s="14"/>
      <c r="G8" s="167"/>
      <c r="H8" s="168"/>
      <c r="I8" s="44"/>
      <c r="J8" s="45"/>
    </row>
    <row r="9" spans="1:14" x14ac:dyDescent="0.3">
      <c r="C9" s="32"/>
      <c r="D9" s="174" t="s">
        <v>169</v>
      </c>
      <c r="E9" s="173"/>
      <c r="F9" s="14"/>
      <c r="G9" s="169" t="s">
        <v>169</v>
      </c>
      <c r="H9" s="170"/>
      <c r="I9" s="171"/>
      <c r="J9" s="172"/>
    </row>
    <row r="10" spans="1:14" ht="49.2" customHeight="1" x14ac:dyDescent="0.3">
      <c r="C10" s="32"/>
      <c r="D10" s="150"/>
      <c r="E10" s="165"/>
      <c r="F10" s="14"/>
      <c r="G10" s="167"/>
      <c r="H10" s="168"/>
      <c r="I10" s="44"/>
      <c r="J10" s="45"/>
    </row>
    <row r="11" spans="1:14" x14ac:dyDescent="0.3">
      <c r="C11" s="182" t="s">
        <v>442</v>
      </c>
      <c r="D11" s="128"/>
      <c r="F11" s="32" t="s">
        <v>115</v>
      </c>
      <c r="G11" s="164"/>
      <c r="H11" s="177"/>
      <c r="I11" s="177"/>
      <c r="J11" s="178"/>
    </row>
    <row r="12" spans="1:14" x14ac:dyDescent="0.3">
      <c r="C12" s="182" t="s">
        <v>452</v>
      </c>
      <c r="D12" s="128"/>
      <c r="F12" s="32" t="s">
        <v>94</v>
      </c>
      <c r="G12" s="35"/>
      <c r="H12" s="36"/>
      <c r="I12" s="36"/>
      <c r="J12" s="131"/>
    </row>
    <row r="13" spans="1:14" x14ac:dyDescent="0.3">
      <c r="C13" s="182" t="s">
        <v>453</v>
      </c>
      <c r="D13" s="128"/>
      <c r="F13" s="32" t="s">
        <v>96</v>
      </c>
      <c r="G13" s="175"/>
      <c r="H13" s="176"/>
      <c r="I13" s="182" t="s">
        <v>440</v>
      </c>
      <c r="J13" s="128"/>
    </row>
    <row r="14" spans="1:14" x14ac:dyDescent="0.3">
      <c r="A14" s="197"/>
      <c r="C14" s="182" t="s">
        <v>458</v>
      </c>
      <c r="D14" s="128"/>
    </row>
    <row r="15" spans="1:14" x14ac:dyDescent="0.3">
      <c r="A15" s="197"/>
      <c r="C15" s="182" t="s">
        <v>450</v>
      </c>
      <c r="D15" s="128"/>
      <c r="F15" s="32" t="s">
        <v>533</v>
      </c>
      <c r="G15" s="35"/>
      <c r="H15" s="131"/>
    </row>
    <row r="16" spans="1:14" x14ac:dyDescent="0.3">
      <c r="C16" s="182" t="s">
        <v>451</v>
      </c>
      <c r="D16" s="129"/>
      <c r="F16" s="32" t="s">
        <v>534</v>
      </c>
      <c r="G16" s="35"/>
      <c r="H16" s="131"/>
    </row>
    <row r="17" spans="2:16" x14ac:dyDescent="0.3">
      <c r="C17" s="32" t="s">
        <v>532</v>
      </c>
      <c r="D17" s="80"/>
      <c r="E17" s="14"/>
    </row>
    <row r="18" spans="2:16" x14ac:dyDescent="0.3">
      <c r="C18" s="162" t="s">
        <v>543</v>
      </c>
      <c r="D18" s="3"/>
      <c r="E18" s="32" t="s">
        <v>648</v>
      </c>
      <c r="K18" s="360" t="s">
        <v>551</v>
      </c>
      <c r="L18" s="360"/>
      <c r="M18" s="360"/>
    </row>
    <row r="19" spans="2:16" ht="28.8" x14ac:dyDescent="0.3">
      <c r="C19" s="49"/>
      <c r="D19" s="6" t="s">
        <v>544</v>
      </c>
      <c r="E19" s="133" t="s">
        <v>545</v>
      </c>
      <c r="F19" s="133" t="s">
        <v>546</v>
      </c>
      <c r="G19" s="133" t="s">
        <v>547</v>
      </c>
      <c r="H19" s="133" t="s">
        <v>548</v>
      </c>
      <c r="I19" s="138" t="s">
        <v>549</v>
      </c>
      <c r="J19" s="138" t="s">
        <v>550</v>
      </c>
      <c r="K19" s="133" t="s">
        <v>552</v>
      </c>
      <c r="L19" s="133" t="s">
        <v>553</v>
      </c>
      <c r="M19" s="133" t="s">
        <v>554</v>
      </c>
      <c r="N19" s="133" t="s">
        <v>555</v>
      </c>
      <c r="O19" s="133" t="s">
        <v>556</v>
      </c>
    </row>
    <row r="20" spans="2:16" x14ac:dyDescent="0.3">
      <c r="D20" s="3"/>
      <c r="E20" s="132"/>
      <c r="F20" s="3"/>
      <c r="G20" s="3"/>
      <c r="H20" s="3"/>
      <c r="I20" s="3"/>
      <c r="J20" s="3"/>
      <c r="K20" s="3"/>
      <c r="L20" s="3"/>
      <c r="M20" s="3"/>
      <c r="N20" s="3"/>
      <c r="O20" s="3"/>
      <c r="P20" s="183" t="s">
        <v>44</v>
      </c>
    </row>
    <row r="23" spans="2:16" x14ac:dyDescent="0.3">
      <c r="K23" s="360" t="s">
        <v>551</v>
      </c>
      <c r="L23" s="360"/>
      <c r="M23" s="360"/>
    </row>
    <row r="24" spans="2:16" ht="43.2" x14ac:dyDescent="0.3">
      <c r="D24" s="185" t="s">
        <v>544</v>
      </c>
      <c r="E24" s="185" t="s">
        <v>545</v>
      </c>
      <c r="F24" s="185" t="s">
        <v>546</v>
      </c>
      <c r="G24" s="185" t="s">
        <v>547</v>
      </c>
      <c r="H24" s="185" t="s">
        <v>548</v>
      </c>
      <c r="I24" s="186" t="s">
        <v>638</v>
      </c>
      <c r="J24" s="186" t="s">
        <v>639</v>
      </c>
      <c r="K24" s="185" t="s">
        <v>552</v>
      </c>
      <c r="L24" s="185" t="s">
        <v>553</v>
      </c>
      <c r="M24" s="185" t="s">
        <v>554</v>
      </c>
      <c r="N24" s="186" t="s">
        <v>640</v>
      </c>
      <c r="O24" s="185" t="s">
        <v>556</v>
      </c>
      <c r="P24" s="185" t="s">
        <v>118</v>
      </c>
    </row>
    <row r="25" spans="2:16" x14ac:dyDescent="0.3">
      <c r="B25" t="s">
        <v>656</v>
      </c>
      <c r="D25" s="3"/>
      <c r="E25" s="132"/>
      <c r="F25" s="3"/>
      <c r="G25" s="3"/>
      <c r="H25" s="3"/>
      <c r="I25" s="3"/>
      <c r="J25" s="3"/>
      <c r="K25" s="3"/>
      <c r="L25" s="3"/>
      <c r="M25" s="3"/>
      <c r="N25" s="3"/>
      <c r="O25" s="3"/>
      <c r="P25" s="3" t="s">
        <v>557</v>
      </c>
    </row>
    <row r="26" spans="2:16" x14ac:dyDescent="0.3">
      <c r="B26" t="s">
        <v>657</v>
      </c>
      <c r="D26" s="3"/>
      <c r="E26" s="13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2:16" x14ac:dyDescent="0.3">
      <c r="D27" s="3"/>
      <c r="E27" s="13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2:16" x14ac:dyDescent="0.3">
      <c r="D28" s="3"/>
      <c r="E28" s="13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2:16" x14ac:dyDescent="0.3">
      <c r="D29" s="3"/>
      <c r="E29" s="13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2:16" x14ac:dyDescent="0.3">
      <c r="F30" s="143" t="s">
        <v>561</v>
      </c>
      <c r="G30" s="187"/>
      <c r="H30" s="187"/>
      <c r="I30" s="187"/>
      <c r="J30" s="187"/>
    </row>
    <row r="32" spans="2:16" x14ac:dyDescent="0.3">
      <c r="O32" s="184" t="s">
        <v>484</v>
      </c>
    </row>
    <row r="34" spans="15:15" x14ac:dyDescent="0.3">
      <c r="O34" s="2" t="s">
        <v>562</v>
      </c>
    </row>
  </sheetData>
  <mergeCells count="2">
    <mergeCell ref="K18:M18"/>
    <mergeCell ref="K23:M23"/>
  </mergeCells>
  <hyperlinks>
    <hyperlink ref="A1" location="Menu!A1" display="Menu"/>
    <hyperlink ref="O34" location="'Quotation List'!A1" display="back to quotation list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09" r:id="rId3" name="Check Box 9">
              <controlPr defaultSize="0" autoFill="0" autoLine="0" autoPict="0">
                <anchor moveWithCells="1">
                  <from>
                    <xdr:col>6</xdr:col>
                    <xdr:colOff>0</xdr:colOff>
                    <xdr:row>5</xdr:row>
                    <xdr:rowOff>7620</xdr:rowOff>
                  </from>
                  <to>
                    <xdr:col>7</xdr:col>
                    <xdr:colOff>586740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08" r:id="rId4" name="Check Box 8">
              <controlPr defaultSize="0" autoFill="0" autoLine="0" autoPict="0">
                <anchor moveWithCells="1">
                  <from>
                    <xdr:col>3</xdr:col>
                    <xdr:colOff>0</xdr:colOff>
                    <xdr:row>5</xdr:row>
                    <xdr:rowOff>7620</xdr:rowOff>
                  </from>
                  <to>
                    <xdr:col>3</xdr:col>
                    <xdr:colOff>1196340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10" r:id="rId5" name="Check Box 10">
              <controlPr defaultSize="0" autoFill="0" autoLine="0" autoPict="0">
                <anchor moveWithCells="1">
                  <from>
                    <xdr:col>6</xdr:col>
                    <xdr:colOff>0</xdr:colOff>
                    <xdr:row>5</xdr:row>
                    <xdr:rowOff>7620</xdr:rowOff>
                  </from>
                  <to>
                    <xdr:col>7</xdr:col>
                    <xdr:colOff>586740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13" r:id="rId6" name="Button 13">
              <controlPr defaultSize="0" print="0" autoFill="0" autoPict="0" macro="[0]!Select">
                <anchor moveWithCells="1">
                  <from>
                    <xdr:col>4</xdr:col>
                    <xdr:colOff>45720</xdr:colOff>
                    <xdr:row>2</xdr:row>
                    <xdr:rowOff>0</xdr:rowOff>
                  </from>
                  <to>
                    <xdr:col>4</xdr:col>
                    <xdr:colOff>632460</xdr:colOff>
                    <xdr:row>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14" r:id="rId7" name="Drop Down 14">
              <controlPr defaultSize="0" autoLine="0" autoPict="0">
                <anchor moveWithCells="1">
                  <from>
                    <xdr:col>2</xdr:col>
                    <xdr:colOff>1158240</xdr:colOff>
                    <xdr:row>17</xdr:row>
                    <xdr:rowOff>15240</xdr:rowOff>
                  </from>
                  <to>
                    <xdr:col>3</xdr:col>
                    <xdr:colOff>1516380</xdr:colOff>
                    <xdr:row>18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4"/>
  <sheetViews>
    <sheetView showGridLines="0" workbookViewId="0"/>
  </sheetViews>
  <sheetFormatPr defaultRowHeight="14.4" x14ac:dyDescent="0.3"/>
  <cols>
    <col min="3" max="3" width="17" bestFit="1" customWidth="1"/>
    <col min="4" max="4" width="22.77734375" bestFit="1" customWidth="1"/>
    <col min="5" max="5" width="17.21875" style="32" bestFit="1" customWidth="1"/>
    <col min="6" max="6" width="12.33203125" bestFit="1" customWidth="1"/>
    <col min="11" max="11" width="4" customWidth="1"/>
    <col min="12" max="13" width="4.109375" customWidth="1"/>
    <col min="16" max="16" width="11.6640625" bestFit="1" customWidth="1"/>
  </cols>
  <sheetData>
    <row r="1" spans="1:14" x14ac:dyDescent="0.3">
      <c r="A1" s="2" t="s">
        <v>119</v>
      </c>
    </row>
    <row r="2" spans="1:14" x14ac:dyDescent="0.3">
      <c r="A2" s="2"/>
      <c r="F2" s="63" t="s">
        <v>659</v>
      </c>
      <c r="G2" s="63"/>
    </row>
    <row r="3" spans="1:14" x14ac:dyDescent="0.3">
      <c r="C3" s="32" t="s">
        <v>508</v>
      </c>
      <c r="D3" s="128"/>
      <c r="E3" s="181"/>
      <c r="F3" s="49"/>
      <c r="G3" s="21"/>
    </row>
    <row r="4" spans="1:14" x14ac:dyDescent="0.3">
      <c r="C4" s="32" t="s">
        <v>114</v>
      </c>
      <c r="D4" s="129" t="s">
        <v>98</v>
      </c>
    </row>
    <row r="5" spans="1:14" x14ac:dyDescent="0.3">
      <c r="C5" s="32" t="s">
        <v>92</v>
      </c>
      <c r="D5" s="35"/>
      <c r="E5" s="130"/>
      <c r="F5" s="36"/>
      <c r="G5" s="131"/>
      <c r="N5" t="s">
        <v>57</v>
      </c>
    </row>
    <row r="6" spans="1:14" x14ac:dyDescent="0.3">
      <c r="C6" s="32" t="s">
        <v>528</v>
      </c>
      <c r="D6" s="14"/>
      <c r="E6" s="37"/>
      <c r="F6" s="14" t="s">
        <v>529</v>
      </c>
      <c r="G6" s="14"/>
      <c r="N6" t="s">
        <v>655</v>
      </c>
    </row>
    <row r="7" spans="1:14" x14ac:dyDescent="0.3">
      <c r="C7" s="32"/>
      <c r="D7" s="179" t="s">
        <v>170</v>
      </c>
      <c r="E7" s="180"/>
      <c r="F7" s="14"/>
      <c r="G7" s="169" t="s">
        <v>170</v>
      </c>
      <c r="H7" s="170"/>
      <c r="I7" s="171"/>
      <c r="J7" s="172"/>
      <c r="N7" t="s">
        <v>654</v>
      </c>
    </row>
    <row r="8" spans="1:14" x14ac:dyDescent="0.3">
      <c r="C8" s="32"/>
      <c r="D8" s="120"/>
      <c r="E8" s="166"/>
      <c r="F8" s="14"/>
      <c r="G8" s="167"/>
      <c r="H8" s="168"/>
      <c r="I8" s="44"/>
      <c r="J8" s="45"/>
    </row>
    <row r="9" spans="1:14" x14ac:dyDescent="0.3">
      <c r="C9" s="32"/>
      <c r="D9" s="174" t="s">
        <v>169</v>
      </c>
      <c r="E9" s="173"/>
      <c r="F9" s="14"/>
      <c r="G9" s="169" t="s">
        <v>169</v>
      </c>
      <c r="H9" s="170"/>
      <c r="I9" s="171"/>
      <c r="J9" s="172"/>
    </row>
    <row r="10" spans="1:14" ht="49.2" customHeight="1" x14ac:dyDescent="0.3">
      <c r="C10" s="32"/>
      <c r="D10" s="150"/>
      <c r="E10" s="165"/>
      <c r="F10" s="14"/>
      <c r="G10" s="167"/>
      <c r="H10" s="168"/>
      <c r="I10" s="44"/>
      <c r="J10" s="45"/>
    </row>
    <row r="11" spans="1:14" x14ac:dyDescent="0.3">
      <c r="C11" s="182" t="s">
        <v>442</v>
      </c>
      <c r="D11" s="128"/>
      <c r="F11" s="32" t="s">
        <v>115</v>
      </c>
      <c r="G11" s="164"/>
      <c r="H11" s="177"/>
      <c r="I11" s="177"/>
      <c r="J11" s="178"/>
    </row>
    <row r="12" spans="1:14" x14ac:dyDescent="0.3">
      <c r="C12" s="182" t="s">
        <v>452</v>
      </c>
      <c r="D12" s="128"/>
      <c r="F12" s="32" t="s">
        <v>94</v>
      </c>
      <c r="G12" s="35"/>
      <c r="H12" s="36"/>
      <c r="I12" s="36"/>
      <c r="J12" s="131"/>
    </row>
    <row r="13" spans="1:14" x14ac:dyDescent="0.3">
      <c r="C13" s="182" t="s">
        <v>453</v>
      </c>
      <c r="D13" s="128"/>
      <c r="F13" s="32" t="s">
        <v>96</v>
      </c>
      <c r="G13" s="175"/>
      <c r="H13" s="176"/>
      <c r="I13" s="182" t="s">
        <v>440</v>
      </c>
      <c r="J13" s="128"/>
    </row>
    <row r="14" spans="1:14" x14ac:dyDescent="0.3">
      <c r="A14" s="197"/>
      <c r="C14" s="182" t="s">
        <v>660</v>
      </c>
      <c r="D14" s="128"/>
    </row>
    <row r="15" spans="1:14" x14ac:dyDescent="0.3">
      <c r="A15" s="197"/>
      <c r="C15" s="182" t="s">
        <v>663</v>
      </c>
      <c r="D15" s="128"/>
      <c r="F15" s="32" t="s">
        <v>533</v>
      </c>
      <c r="G15" s="35"/>
      <c r="H15" s="131"/>
    </row>
    <row r="16" spans="1:14" x14ac:dyDescent="0.3">
      <c r="C16" s="182" t="s">
        <v>664</v>
      </c>
      <c r="D16" s="129"/>
      <c r="F16" s="32" t="s">
        <v>534</v>
      </c>
      <c r="G16" s="35"/>
      <c r="H16" s="131"/>
    </row>
    <row r="17" spans="2:17" x14ac:dyDescent="0.3">
      <c r="C17" s="32" t="s">
        <v>532</v>
      </c>
      <c r="D17" s="80"/>
      <c r="E17" s="14"/>
    </row>
    <row r="18" spans="2:17" x14ac:dyDescent="0.3">
      <c r="C18" s="162" t="s">
        <v>543</v>
      </c>
      <c r="D18" s="3"/>
      <c r="E18" s="32" t="s">
        <v>648</v>
      </c>
      <c r="K18" s="360" t="s">
        <v>551</v>
      </c>
      <c r="L18" s="360"/>
      <c r="M18" s="360"/>
    </row>
    <row r="19" spans="2:17" ht="43.2" x14ac:dyDescent="0.3">
      <c r="C19" s="49"/>
      <c r="D19" s="139" t="s">
        <v>544</v>
      </c>
      <c r="E19" s="139" t="s">
        <v>545</v>
      </c>
      <c r="F19" s="139" t="s">
        <v>546</v>
      </c>
      <c r="G19" s="139" t="s">
        <v>547</v>
      </c>
      <c r="H19" s="139" t="s">
        <v>548</v>
      </c>
      <c r="I19" s="138" t="s">
        <v>549</v>
      </c>
      <c r="J19" s="138" t="s">
        <v>550</v>
      </c>
      <c r="K19" s="133" t="s">
        <v>552</v>
      </c>
      <c r="L19" s="133" t="s">
        <v>553</v>
      </c>
      <c r="M19" s="133" t="s">
        <v>554</v>
      </c>
      <c r="N19" s="202" t="s">
        <v>555</v>
      </c>
      <c r="O19" s="203" t="s">
        <v>674</v>
      </c>
      <c r="P19" s="185" t="s">
        <v>556</v>
      </c>
    </row>
    <row r="20" spans="2:17" x14ac:dyDescent="0.3">
      <c r="D20" s="3"/>
      <c r="E20" s="13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183" t="s">
        <v>44</v>
      </c>
    </row>
    <row r="23" spans="2:17" x14ac:dyDescent="0.3">
      <c r="K23" s="360" t="s">
        <v>551</v>
      </c>
      <c r="L23" s="360"/>
      <c r="M23" s="360"/>
    </row>
    <row r="24" spans="2:17" ht="43.2" x14ac:dyDescent="0.3">
      <c r="D24" s="185" t="s">
        <v>544</v>
      </c>
      <c r="E24" s="185" t="s">
        <v>545</v>
      </c>
      <c r="F24" s="185" t="s">
        <v>546</v>
      </c>
      <c r="G24" s="185" t="s">
        <v>547</v>
      </c>
      <c r="H24" s="185" t="s">
        <v>548</v>
      </c>
      <c r="I24" s="186" t="s">
        <v>638</v>
      </c>
      <c r="J24" s="186" t="s">
        <v>639</v>
      </c>
      <c r="K24" s="185" t="s">
        <v>552</v>
      </c>
      <c r="L24" s="185" t="s">
        <v>553</v>
      </c>
      <c r="M24" s="185" t="s">
        <v>554</v>
      </c>
      <c r="N24" s="186" t="s">
        <v>640</v>
      </c>
      <c r="O24" s="202" t="s">
        <v>674</v>
      </c>
      <c r="P24" s="185" t="s">
        <v>556</v>
      </c>
      <c r="Q24" s="185" t="s">
        <v>118</v>
      </c>
    </row>
    <row r="25" spans="2:17" x14ac:dyDescent="0.3">
      <c r="B25" t="s">
        <v>656</v>
      </c>
      <c r="D25" s="3"/>
      <c r="E25" s="13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 t="s">
        <v>557</v>
      </c>
    </row>
    <row r="26" spans="2:17" x14ac:dyDescent="0.3">
      <c r="B26" t="s">
        <v>657</v>
      </c>
      <c r="D26" s="3"/>
      <c r="E26" s="13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x14ac:dyDescent="0.3">
      <c r="D27" s="3"/>
      <c r="E27" s="13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x14ac:dyDescent="0.3">
      <c r="D28" s="3"/>
      <c r="E28" s="13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17" x14ac:dyDescent="0.3">
      <c r="D29" s="3"/>
      <c r="E29" s="13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17" x14ac:dyDescent="0.3">
      <c r="F30" s="143" t="s">
        <v>561</v>
      </c>
      <c r="G30" s="187"/>
      <c r="H30" s="187"/>
      <c r="I30" s="187"/>
      <c r="J30" s="187"/>
    </row>
    <row r="32" spans="2:17" x14ac:dyDescent="0.3">
      <c r="O32" s="184" t="s">
        <v>484</v>
      </c>
    </row>
    <row r="34" spans="15:15" x14ac:dyDescent="0.3">
      <c r="O34" s="2" t="s">
        <v>562</v>
      </c>
    </row>
  </sheetData>
  <mergeCells count="2">
    <mergeCell ref="K18:M18"/>
    <mergeCell ref="K23:M23"/>
  </mergeCells>
  <hyperlinks>
    <hyperlink ref="A1" location="Menu!A1" display="Menu"/>
    <hyperlink ref="O34" location="'Quotation List'!A1" display="back to quotation list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5889" r:id="rId3" name="Check Box 1">
              <controlPr defaultSize="0" autoFill="0" autoLine="0" autoPict="0">
                <anchor moveWithCells="1">
                  <from>
                    <xdr:col>3</xdr:col>
                    <xdr:colOff>0</xdr:colOff>
                    <xdr:row>5</xdr:row>
                    <xdr:rowOff>7620</xdr:rowOff>
                  </from>
                  <to>
                    <xdr:col>3</xdr:col>
                    <xdr:colOff>1196340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90" r:id="rId4" name="Check Box 2">
              <controlPr defaultSize="0" autoFill="0" autoLine="0" autoPict="0">
                <anchor moveWithCells="1">
                  <from>
                    <xdr:col>6</xdr:col>
                    <xdr:colOff>0</xdr:colOff>
                    <xdr:row>5</xdr:row>
                    <xdr:rowOff>7620</xdr:rowOff>
                  </from>
                  <to>
                    <xdr:col>7</xdr:col>
                    <xdr:colOff>586740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91" r:id="rId5" name="Check Box 3">
              <controlPr defaultSize="0" autoFill="0" autoLine="0" autoPict="0">
                <anchor moveWithCells="1">
                  <from>
                    <xdr:col>6</xdr:col>
                    <xdr:colOff>0</xdr:colOff>
                    <xdr:row>5</xdr:row>
                    <xdr:rowOff>7620</xdr:rowOff>
                  </from>
                  <to>
                    <xdr:col>7</xdr:col>
                    <xdr:colOff>586740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92" r:id="rId6" name="Button 4">
              <controlPr defaultSize="0" print="0" autoFill="0" autoPict="0" macro="[0]!Select">
                <anchor moveWithCells="1">
                  <from>
                    <xdr:col>4</xdr:col>
                    <xdr:colOff>45720</xdr:colOff>
                    <xdr:row>2</xdr:row>
                    <xdr:rowOff>0</xdr:rowOff>
                  </from>
                  <to>
                    <xdr:col>4</xdr:col>
                    <xdr:colOff>632460</xdr:colOff>
                    <xdr:row>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93" r:id="rId7" name="Drop Down 5">
              <controlPr defaultSize="0" autoLine="0" autoPict="0">
                <anchor moveWithCells="1">
                  <from>
                    <xdr:col>2</xdr:col>
                    <xdr:colOff>1158240</xdr:colOff>
                    <xdr:row>17</xdr:row>
                    <xdr:rowOff>15240</xdr:rowOff>
                  </from>
                  <to>
                    <xdr:col>3</xdr:col>
                    <xdr:colOff>1516380</xdr:colOff>
                    <xdr:row>18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showGridLines="0" workbookViewId="0"/>
  </sheetViews>
  <sheetFormatPr defaultRowHeight="14.4" x14ac:dyDescent="0.3"/>
  <cols>
    <col min="2" max="2" width="12.21875" bestFit="1" customWidth="1"/>
    <col min="3" max="3" width="12.5546875" bestFit="1" customWidth="1"/>
    <col min="4" max="4" width="8.88671875" bestFit="1" customWidth="1"/>
    <col min="5" max="5" width="10.44140625" style="32" bestFit="1" customWidth="1"/>
    <col min="6" max="6" width="12.33203125" bestFit="1" customWidth="1"/>
    <col min="7" max="7" width="9.77734375" bestFit="1" customWidth="1"/>
    <col min="8" max="8" width="9" bestFit="1" customWidth="1"/>
    <col min="9" max="9" width="17.33203125" bestFit="1" customWidth="1"/>
    <col min="10" max="11" width="10.88671875" bestFit="1" customWidth="1"/>
    <col min="12" max="12" width="10.33203125" bestFit="1" customWidth="1"/>
    <col min="13" max="13" width="14.109375" customWidth="1"/>
    <col min="14" max="14" width="7.109375" customWidth="1"/>
    <col min="15" max="15" width="11.109375" customWidth="1"/>
    <col min="16" max="16" width="4.109375" bestFit="1" customWidth="1"/>
    <col min="17" max="17" width="10.33203125" bestFit="1" customWidth="1"/>
  </cols>
  <sheetData>
    <row r="1" spans="1:17" x14ac:dyDescent="0.3">
      <c r="A1" s="2" t="s">
        <v>119</v>
      </c>
    </row>
    <row r="2" spans="1:17" x14ac:dyDescent="0.3">
      <c r="H2" s="21"/>
      <c r="I2" s="21"/>
      <c r="J2" s="21"/>
      <c r="K2" s="21"/>
      <c r="L2" s="21"/>
      <c r="M2" s="21"/>
      <c r="N2" s="21"/>
      <c r="O2" s="21"/>
    </row>
    <row r="3" spans="1:17" x14ac:dyDescent="0.3">
      <c r="B3" s="41"/>
      <c r="C3" s="41"/>
      <c r="D3" s="41"/>
      <c r="E3" s="41"/>
      <c r="F3" s="41"/>
      <c r="G3" s="41"/>
      <c r="H3" s="41"/>
      <c r="I3" s="41" t="s">
        <v>564</v>
      </c>
      <c r="J3" s="41"/>
      <c r="K3" s="41"/>
      <c r="L3" s="41"/>
      <c r="M3" s="41"/>
      <c r="N3" s="41"/>
      <c r="O3" s="41"/>
      <c r="P3" s="42"/>
    </row>
    <row r="4" spans="1:17" x14ac:dyDescent="0.3">
      <c r="E4"/>
    </row>
    <row r="5" spans="1:17" x14ac:dyDescent="0.3">
      <c r="E5"/>
      <c r="F5" s="32"/>
    </row>
    <row r="6" spans="1:17" x14ac:dyDescent="0.3">
      <c r="E6"/>
      <c r="O6" s="3" t="s">
        <v>55</v>
      </c>
      <c r="P6" s="20"/>
      <c r="Q6" s="33"/>
    </row>
    <row r="7" spans="1:17" x14ac:dyDescent="0.3">
      <c r="B7" s="6" t="s">
        <v>508</v>
      </c>
      <c r="C7" s="6" t="s">
        <v>565</v>
      </c>
      <c r="D7" s="6" t="s">
        <v>92</v>
      </c>
      <c r="E7" s="6" t="s">
        <v>115</v>
      </c>
      <c r="F7" s="6" t="s">
        <v>114</v>
      </c>
      <c r="G7" s="6" t="s">
        <v>398</v>
      </c>
      <c r="H7" s="6" t="s">
        <v>399</v>
      </c>
      <c r="I7" s="6" t="s">
        <v>116</v>
      </c>
      <c r="J7" s="6" t="s">
        <v>543</v>
      </c>
      <c r="K7" s="6" t="s">
        <v>566</v>
      </c>
      <c r="L7" s="140" t="s">
        <v>487</v>
      </c>
      <c r="M7" s="140" t="s">
        <v>488</v>
      </c>
      <c r="N7" s="6" t="s">
        <v>111</v>
      </c>
      <c r="O7" s="357" t="s">
        <v>118</v>
      </c>
      <c r="P7" s="358"/>
      <c r="Q7" s="358"/>
    </row>
    <row r="8" spans="1:17" x14ac:dyDescent="0.3">
      <c r="B8" s="118"/>
      <c r="C8" s="3"/>
      <c r="D8" s="3"/>
      <c r="E8" s="3"/>
      <c r="F8" s="3" t="s">
        <v>371</v>
      </c>
      <c r="G8" s="3" t="s">
        <v>372</v>
      </c>
      <c r="H8" s="3" t="s">
        <v>373</v>
      </c>
      <c r="I8" s="3" t="s">
        <v>393</v>
      </c>
      <c r="J8" s="3"/>
      <c r="K8" s="3"/>
      <c r="L8" s="3"/>
      <c r="M8" s="3"/>
      <c r="N8" s="3"/>
      <c r="O8" s="2" t="s">
        <v>439</v>
      </c>
      <c r="P8" s="2" t="s">
        <v>434</v>
      </c>
      <c r="Q8" s="124" t="s">
        <v>568</v>
      </c>
    </row>
    <row r="9" spans="1:17" x14ac:dyDescent="0.3">
      <c r="B9" s="118"/>
      <c r="C9" s="3"/>
      <c r="D9" s="3"/>
      <c r="E9" s="3"/>
      <c r="F9" s="3" t="s">
        <v>371</v>
      </c>
      <c r="G9" s="3" t="s">
        <v>372</v>
      </c>
      <c r="H9" s="3" t="s">
        <v>373</v>
      </c>
      <c r="I9" s="3" t="s">
        <v>394</v>
      </c>
      <c r="J9" s="3"/>
      <c r="K9" s="3"/>
      <c r="L9" s="3"/>
      <c r="M9" s="3"/>
      <c r="N9" s="3"/>
      <c r="O9" s="3" t="s">
        <v>439</v>
      </c>
      <c r="P9" s="80" t="s">
        <v>434</v>
      </c>
      <c r="Q9" s="80"/>
    </row>
    <row r="10" spans="1:17" x14ac:dyDescent="0.3">
      <c r="B10" s="118"/>
      <c r="C10" s="3"/>
      <c r="D10" s="3"/>
      <c r="E10" s="3"/>
      <c r="F10" s="3" t="s">
        <v>98</v>
      </c>
      <c r="G10" s="3" t="s">
        <v>374</v>
      </c>
      <c r="H10" s="3" t="s">
        <v>375</v>
      </c>
      <c r="I10" s="3" t="s">
        <v>392</v>
      </c>
      <c r="J10" s="3"/>
      <c r="K10" s="3"/>
      <c r="L10" s="3"/>
      <c r="M10" s="3"/>
      <c r="N10" s="3"/>
      <c r="O10" s="3" t="s">
        <v>439</v>
      </c>
      <c r="P10" s="80" t="s">
        <v>434</v>
      </c>
      <c r="Q10" s="124" t="s">
        <v>667</v>
      </c>
    </row>
    <row r="11" spans="1:17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439</v>
      </c>
      <c r="P11" s="80" t="s">
        <v>434</v>
      </c>
      <c r="Q11" s="80"/>
    </row>
    <row r="13" spans="1:17" x14ac:dyDescent="0.3">
      <c r="O13" s="2"/>
      <c r="Q13" t="s">
        <v>616</v>
      </c>
    </row>
    <row r="14" spans="1:17" x14ac:dyDescent="0.3">
      <c r="M14" s="32" t="s">
        <v>610</v>
      </c>
      <c r="N14" t="s">
        <v>609</v>
      </c>
      <c r="Q14" t="s">
        <v>613</v>
      </c>
    </row>
    <row r="15" spans="1:17" x14ac:dyDescent="0.3">
      <c r="M15" s="32" t="s">
        <v>611</v>
      </c>
      <c r="N15" t="s">
        <v>605</v>
      </c>
      <c r="Q15" s="2" t="s">
        <v>614</v>
      </c>
    </row>
    <row r="16" spans="1:17" x14ac:dyDescent="0.3">
      <c r="M16" s="32" t="s">
        <v>612</v>
      </c>
      <c r="N16" t="s">
        <v>606</v>
      </c>
      <c r="Q16" s="2" t="s">
        <v>615</v>
      </c>
    </row>
    <row r="20" spans="2:15" x14ac:dyDescent="0.3">
      <c r="B20" t="s">
        <v>689</v>
      </c>
    </row>
    <row r="22" spans="2:15" ht="28.8" x14ac:dyDescent="0.3">
      <c r="B22" s="100" t="s">
        <v>690</v>
      </c>
      <c r="C22" s="100" t="s">
        <v>510</v>
      </c>
      <c r="D22" s="100" t="s">
        <v>691</v>
      </c>
      <c r="E22" s="205" t="s">
        <v>692</v>
      </c>
      <c r="F22" s="100" t="s">
        <v>693</v>
      </c>
      <c r="G22" s="100" t="s">
        <v>628</v>
      </c>
      <c r="H22" s="100" t="s">
        <v>694</v>
      </c>
      <c r="I22" s="100" t="s">
        <v>695</v>
      </c>
      <c r="J22" s="100" t="s">
        <v>456</v>
      </c>
      <c r="K22" s="100" t="s">
        <v>696</v>
      </c>
      <c r="L22" s="100" t="s">
        <v>697</v>
      </c>
      <c r="M22" s="100" t="s">
        <v>698</v>
      </c>
      <c r="N22" s="100" t="s">
        <v>699</v>
      </c>
    </row>
    <row r="23" spans="2:15" x14ac:dyDescent="0.3">
      <c r="B23" s="43"/>
      <c r="C23" s="44"/>
      <c r="D23" s="44"/>
      <c r="E23" s="155"/>
      <c r="F23" s="44"/>
      <c r="G23" s="44"/>
      <c r="H23" s="44"/>
      <c r="I23" s="44"/>
      <c r="J23" s="44"/>
      <c r="K23" s="44"/>
      <c r="L23" s="44"/>
      <c r="M23" s="44"/>
      <c r="N23" s="44"/>
      <c r="O23" s="45"/>
    </row>
    <row r="24" spans="2:15" x14ac:dyDescent="0.3">
      <c r="B24" s="46"/>
      <c r="C24" s="21"/>
      <c r="D24" s="21"/>
      <c r="E24" s="49"/>
      <c r="F24" s="21"/>
      <c r="G24" s="21"/>
      <c r="H24" s="21"/>
      <c r="I24" s="21"/>
      <c r="J24" s="21"/>
      <c r="K24" s="21"/>
      <c r="L24" s="21"/>
      <c r="M24" s="21"/>
      <c r="N24" s="21"/>
      <c r="O24" s="48"/>
    </row>
    <row r="25" spans="2:15" x14ac:dyDescent="0.3">
      <c r="B25" s="46"/>
      <c r="C25" s="21"/>
      <c r="D25" s="21"/>
      <c r="E25" s="49"/>
      <c r="F25" s="21"/>
      <c r="G25" s="21"/>
      <c r="H25" s="21"/>
      <c r="I25" s="21"/>
      <c r="J25" s="21"/>
      <c r="K25" s="21"/>
      <c r="L25" s="21"/>
      <c r="M25" s="21"/>
      <c r="N25" s="21"/>
      <c r="O25" s="48"/>
    </row>
    <row r="26" spans="2:15" x14ac:dyDescent="0.3">
      <c r="B26" s="46"/>
      <c r="C26" s="21"/>
      <c r="D26" s="21"/>
      <c r="E26" s="49"/>
      <c r="F26" s="21"/>
      <c r="G26" s="21"/>
      <c r="H26" s="21"/>
      <c r="I26" s="21"/>
      <c r="J26" s="21"/>
      <c r="K26" s="21"/>
      <c r="L26" s="21"/>
      <c r="M26" s="21"/>
      <c r="N26" s="21"/>
      <c r="O26" s="48"/>
    </row>
    <row r="27" spans="2:15" x14ac:dyDescent="0.3">
      <c r="B27" s="46"/>
      <c r="C27" s="21"/>
      <c r="D27" s="21"/>
      <c r="E27" s="49"/>
      <c r="F27" s="21"/>
      <c r="G27" s="21"/>
      <c r="H27" s="21"/>
      <c r="I27" s="21"/>
      <c r="J27" s="21"/>
      <c r="K27" s="21"/>
      <c r="L27" s="21"/>
      <c r="M27" s="21"/>
      <c r="N27" s="21"/>
      <c r="O27" s="48"/>
    </row>
    <row r="28" spans="2:15" x14ac:dyDescent="0.3">
      <c r="B28" s="46"/>
      <c r="C28" s="21"/>
      <c r="D28" s="21"/>
      <c r="E28" s="49"/>
      <c r="F28" s="21"/>
      <c r="G28" s="21"/>
      <c r="H28" s="21"/>
      <c r="I28" s="21"/>
      <c r="J28" s="21"/>
      <c r="K28" s="21"/>
      <c r="L28" s="21"/>
      <c r="M28" s="21"/>
      <c r="N28" s="21"/>
      <c r="O28" s="48"/>
    </row>
    <row r="29" spans="2:15" x14ac:dyDescent="0.3">
      <c r="B29" s="46"/>
      <c r="C29" s="21"/>
      <c r="D29" s="21"/>
      <c r="E29" s="49"/>
      <c r="F29" s="21"/>
      <c r="G29" s="21"/>
      <c r="H29" s="21"/>
      <c r="I29" s="21"/>
      <c r="J29" s="21"/>
      <c r="K29" s="21"/>
      <c r="L29" s="21"/>
      <c r="M29" s="21"/>
      <c r="N29" s="21"/>
      <c r="O29" s="48"/>
    </row>
    <row r="30" spans="2:15" x14ac:dyDescent="0.3">
      <c r="B30" s="46"/>
      <c r="C30" s="21"/>
      <c r="D30" s="21"/>
      <c r="E30" s="49"/>
      <c r="F30" s="21"/>
      <c r="G30" s="21"/>
      <c r="H30" s="21"/>
      <c r="I30" s="21"/>
      <c r="J30" s="21"/>
      <c r="K30" s="21"/>
      <c r="L30" s="21"/>
      <c r="M30" s="21"/>
      <c r="N30" s="21"/>
      <c r="O30" s="48"/>
    </row>
    <row r="31" spans="2:15" x14ac:dyDescent="0.3">
      <c r="B31" s="46"/>
      <c r="C31" s="21"/>
      <c r="D31" s="21"/>
      <c r="E31" s="49"/>
      <c r="F31" s="21"/>
      <c r="G31" s="21"/>
      <c r="H31" s="21"/>
      <c r="I31" s="21"/>
      <c r="J31" s="21"/>
      <c r="K31" s="21"/>
      <c r="L31" s="21"/>
      <c r="M31" s="21"/>
      <c r="N31" s="21"/>
      <c r="O31" s="48"/>
    </row>
    <row r="32" spans="2:15" x14ac:dyDescent="0.3">
      <c r="B32" s="46"/>
      <c r="C32" s="21"/>
      <c r="D32" s="21"/>
      <c r="E32" s="49"/>
      <c r="F32" s="21"/>
      <c r="G32" s="21"/>
      <c r="H32" s="21"/>
      <c r="I32" s="21"/>
      <c r="J32" s="21"/>
      <c r="K32" s="21"/>
      <c r="L32" s="21"/>
      <c r="M32" s="21"/>
      <c r="N32" s="21"/>
      <c r="O32" s="48"/>
    </row>
    <row r="33" spans="2:15" x14ac:dyDescent="0.3">
      <c r="B33" s="46"/>
      <c r="C33" s="21"/>
      <c r="D33" s="21"/>
      <c r="E33" s="49"/>
      <c r="F33" s="21"/>
      <c r="G33" s="21"/>
      <c r="H33" s="21"/>
      <c r="I33" s="21"/>
      <c r="J33" s="21"/>
      <c r="K33" s="21"/>
      <c r="L33" s="21"/>
      <c r="M33" s="21"/>
      <c r="N33" s="21"/>
      <c r="O33" s="48"/>
    </row>
    <row r="34" spans="2:15" x14ac:dyDescent="0.3">
      <c r="B34" s="46"/>
      <c r="C34" s="21"/>
      <c r="D34" s="21"/>
      <c r="E34" s="49"/>
      <c r="F34" s="21"/>
      <c r="G34" s="21"/>
      <c r="H34" s="21"/>
      <c r="I34" s="21"/>
      <c r="J34" s="21"/>
      <c r="K34" s="21"/>
      <c r="L34" s="21"/>
      <c r="M34" s="21"/>
      <c r="N34" s="21"/>
      <c r="O34" s="48"/>
    </row>
    <row r="35" spans="2:15" x14ac:dyDescent="0.3">
      <c r="B35" s="46"/>
      <c r="C35" s="21"/>
      <c r="D35" s="21"/>
      <c r="E35" s="49"/>
      <c r="F35" s="21"/>
      <c r="G35" s="21"/>
      <c r="H35" s="21"/>
      <c r="I35" s="21"/>
      <c r="J35" s="21"/>
      <c r="K35" s="21"/>
      <c r="L35" s="21"/>
      <c r="M35" s="21"/>
      <c r="N35" s="21"/>
      <c r="O35" s="48"/>
    </row>
    <row r="36" spans="2:15" x14ac:dyDescent="0.3">
      <c r="B36" s="46"/>
      <c r="C36" s="21"/>
      <c r="D36" s="21"/>
      <c r="E36" s="49"/>
      <c r="F36" s="21"/>
      <c r="G36" s="21"/>
      <c r="H36" s="21"/>
      <c r="I36" s="21"/>
      <c r="J36" s="21"/>
      <c r="K36" s="21"/>
      <c r="L36" s="21"/>
      <c r="M36" s="21"/>
      <c r="N36" s="21"/>
      <c r="O36" s="48"/>
    </row>
    <row r="37" spans="2:15" x14ac:dyDescent="0.3">
      <c r="B37" s="46"/>
      <c r="C37" s="21"/>
      <c r="D37" s="21"/>
      <c r="E37" s="49"/>
      <c r="F37" s="21"/>
      <c r="G37" s="21"/>
      <c r="H37" s="21"/>
      <c r="I37" s="21"/>
      <c r="J37" s="21"/>
      <c r="K37" s="21"/>
      <c r="L37" s="21"/>
      <c r="M37" s="21"/>
      <c r="N37" s="21"/>
      <c r="O37" s="48"/>
    </row>
    <row r="38" spans="2:15" x14ac:dyDescent="0.3">
      <c r="B38" s="46"/>
      <c r="C38" s="21"/>
      <c r="D38" s="21"/>
      <c r="E38" s="49"/>
      <c r="F38" s="21"/>
      <c r="G38" s="21"/>
      <c r="H38" s="21"/>
      <c r="I38" s="21"/>
      <c r="J38" s="21"/>
      <c r="K38" s="21"/>
      <c r="L38" s="21"/>
      <c r="M38" s="21"/>
      <c r="N38" s="21"/>
      <c r="O38" s="48"/>
    </row>
    <row r="39" spans="2:15" x14ac:dyDescent="0.3">
      <c r="B39" s="46"/>
      <c r="C39" s="21"/>
      <c r="D39" s="21"/>
      <c r="E39" s="49"/>
      <c r="F39" s="21"/>
      <c r="G39" s="21"/>
      <c r="H39" s="21"/>
      <c r="I39" s="21"/>
      <c r="J39" s="21"/>
      <c r="K39" s="21"/>
      <c r="L39" s="21"/>
      <c r="M39" s="21"/>
      <c r="N39" s="21"/>
      <c r="O39" s="48"/>
    </row>
    <row r="40" spans="2:15" x14ac:dyDescent="0.3">
      <c r="B40" s="46"/>
      <c r="C40" s="21"/>
      <c r="D40" s="21"/>
      <c r="E40" s="49"/>
      <c r="F40" s="21"/>
      <c r="G40" s="21"/>
      <c r="H40" s="21"/>
      <c r="I40" s="21"/>
      <c r="J40" s="21"/>
      <c r="K40" s="21"/>
      <c r="L40" s="21"/>
      <c r="M40" s="21"/>
      <c r="N40" s="21"/>
      <c r="O40" s="48"/>
    </row>
    <row r="41" spans="2:15" x14ac:dyDescent="0.3">
      <c r="B41" s="46"/>
      <c r="C41" s="21"/>
      <c r="D41" s="21"/>
      <c r="E41" s="49"/>
      <c r="F41" s="21"/>
      <c r="G41" s="21"/>
      <c r="H41" s="21"/>
      <c r="I41" s="21"/>
      <c r="J41" s="21"/>
      <c r="K41" s="21"/>
      <c r="L41" s="21"/>
      <c r="M41" s="21"/>
      <c r="N41" s="21"/>
      <c r="O41" s="48"/>
    </row>
    <row r="42" spans="2:15" x14ac:dyDescent="0.3">
      <c r="B42" s="46"/>
      <c r="C42" s="21"/>
      <c r="D42" s="21"/>
      <c r="E42" s="49"/>
      <c r="F42" s="21"/>
      <c r="G42" s="21"/>
      <c r="H42" s="21"/>
      <c r="I42" s="21"/>
      <c r="J42" s="21"/>
      <c r="K42" s="21"/>
      <c r="L42" s="21"/>
      <c r="M42" s="21"/>
      <c r="N42" s="21"/>
      <c r="O42" s="48"/>
    </row>
    <row r="43" spans="2:15" x14ac:dyDescent="0.3">
      <c r="B43" s="46"/>
      <c r="C43" s="21"/>
      <c r="D43" s="21"/>
      <c r="E43" s="49"/>
      <c r="F43" s="21"/>
      <c r="G43" s="21"/>
      <c r="H43" s="21"/>
      <c r="I43" s="21"/>
      <c r="J43" s="21"/>
      <c r="K43" s="21"/>
      <c r="L43" s="21"/>
      <c r="M43" s="21"/>
      <c r="N43" s="21"/>
      <c r="O43" s="48"/>
    </row>
    <row r="44" spans="2:15" x14ac:dyDescent="0.3">
      <c r="B44" s="46"/>
      <c r="C44" s="21"/>
      <c r="D44" s="21"/>
      <c r="E44" s="49"/>
      <c r="F44" s="21"/>
      <c r="G44" s="21"/>
      <c r="H44" s="21"/>
      <c r="I44" s="21"/>
      <c r="J44" s="21"/>
      <c r="K44" s="21"/>
      <c r="L44" s="21"/>
      <c r="M44" s="21"/>
      <c r="N44" s="21"/>
      <c r="O44" s="48"/>
    </row>
    <row r="45" spans="2:15" x14ac:dyDescent="0.3">
      <c r="B45" s="50"/>
      <c r="C45" s="1"/>
      <c r="D45" s="1"/>
      <c r="E45" s="161"/>
      <c r="F45" s="1"/>
      <c r="G45" s="1"/>
      <c r="H45" s="1"/>
      <c r="I45" s="1"/>
      <c r="J45" s="1"/>
      <c r="K45" s="1"/>
      <c r="L45" s="1"/>
      <c r="M45" s="1"/>
      <c r="N45" s="1"/>
      <c r="O45" s="51"/>
    </row>
  </sheetData>
  <mergeCells count="1">
    <mergeCell ref="O7:Q7"/>
  </mergeCells>
  <hyperlinks>
    <hyperlink ref="A1" location="Menu!A1" display="Menu"/>
    <hyperlink ref="O8" location="'Shipment Booking View'!A1" display="View "/>
    <hyperlink ref="P8" location="'Shipment Booking'!A1" display="Edit"/>
    <hyperlink ref="Q8" location="'Vessel Booking'!A1" display="Vsl Booking"/>
    <hyperlink ref="Q15" location="'Vessel Booking approval'!A1" display="Awaiting shipment Approval"/>
    <hyperlink ref="Q16" location="'Shipping Order'!A1" display="Issue S/O"/>
    <hyperlink ref="Q10" location="'Flight Booking '!A1" display="Flight Booking"/>
  </hyperlink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0"/>
  <sheetViews>
    <sheetView showGridLines="0" topLeftCell="A7" workbookViewId="0"/>
  </sheetViews>
  <sheetFormatPr defaultRowHeight="14.4" x14ac:dyDescent="0.3"/>
  <cols>
    <col min="3" max="3" width="17" bestFit="1" customWidth="1"/>
    <col min="4" max="4" width="22.77734375" bestFit="1" customWidth="1"/>
    <col min="5" max="5" width="17.21875" style="32" bestFit="1" customWidth="1"/>
    <col min="6" max="6" width="12.33203125" bestFit="1" customWidth="1"/>
    <col min="11" max="11" width="4" customWidth="1"/>
    <col min="12" max="13" width="4.109375" customWidth="1"/>
    <col min="16" max="16" width="11.6640625" bestFit="1" customWidth="1"/>
  </cols>
  <sheetData>
    <row r="1" spans="1:10" x14ac:dyDescent="0.3">
      <c r="A1" s="2" t="s">
        <v>119</v>
      </c>
    </row>
    <row r="2" spans="1:10" x14ac:dyDescent="0.3">
      <c r="C2" s="32" t="s">
        <v>508</v>
      </c>
      <c r="D2" s="128"/>
      <c r="E2" s="181"/>
      <c r="F2" s="49"/>
      <c r="G2" s="21"/>
    </row>
    <row r="3" spans="1:10" x14ac:dyDescent="0.3">
      <c r="C3" s="32" t="s">
        <v>114</v>
      </c>
      <c r="D3" s="129" t="s">
        <v>524</v>
      </c>
    </row>
    <row r="4" spans="1:10" x14ac:dyDescent="0.3">
      <c r="C4" s="32" t="s">
        <v>92</v>
      </c>
      <c r="D4" s="35"/>
      <c r="E4" s="130"/>
      <c r="F4" s="36"/>
      <c r="G4" s="131"/>
    </row>
    <row r="5" spans="1:10" x14ac:dyDescent="0.3">
      <c r="C5" s="32" t="s">
        <v>528</v>
      </c>
      <c r="D5" s="14"/>
      <c r="E5" s="37"/>
      <c r="F5" s="14" t="s">
        <v>529</v>
      </c>
      <c r="G5" s="14"/>
    </row>
    <row r="6" spans="1:10" x14ac:dyDescent="0.3">
      <c r="C6" s="32"/>
      <c r="D6" s="179" t="s">
        <v>170</v>
      </c>
      <c r="E6" s="180"/>
      <c r="F6" s="14"/>
      <c r="G6" s="169" t="s">
        <v>170</v>
      </c>
      <c r="H6" s="170"/>
      <c r="I6" s="171"/>
      <c r="J6" s="172"/>
    </row>
    <row r="7" spans="1:10" x14ac:dyDescent="0.3">
      <c r="C7" s="32"/>
      <c r="D7" s="120"/>
      <c r="E7" s="166"/>
      <c r="F7" s="14"/>
      <c r="G7" s="167"/>
      <c r="H7" s="168"/>
      <c r="I7" s="44"/>
      <c r="J7" s="45"/>
    </row>
    <row r="8" spans="1:10" x14ac:dyDescent="0.3">
      <c r="C8" s="32"/>
      <c r="D8" s="174" t="s">
        <v>169</v>
      </c>
      <c r="E8" s="173"/>
      <c r="F8" s="14"/>
      <c r="G8" s="169" t="s">
        <v>169</v>
      </c>
      <c r="H8" s="170"/>
      <c r="I8" s="171"/>
      <c r="J8" s="172"/>
    </row>
    <row r="9" spans="1:10" ht="49.2" customHeight="1" x14ac:dyDescent="0.3">
      <c r="C9" s="32"/>
      <c r="D9" s="150"/>
      <c r="E9" s="165"/>
      <c r="F9" s="14"/>
      <c r="G9" s="167"/>
      <c r="H9" s="168"/>
      <c r="I9" s="44"/>
      <c r="J9" s="45"/>
    </row>
    <row r="10" spans="1:10" x14ac:dyDescent="0.3">
      <c r="C10" s="182" t="s">
        <v>442</v>
      </c>
      <c r="D10" s="128"/>
      <c r="F10" s="32" t="s">
        <v>115</v>
      </c>
      <c r="G10" s="164"/>
      <c r="H10" s="177"/>
      <c r="I10" s="177"/>
      <c r="J10" s="178"/>
    </row>
    <row r="11" spans="1:10" x14ac:dyDescent="0.3">
      <c r="C11" s="182" t="s">
        <v>452</v>
      </c>
      <c r="D11" s="128"/>
      <c r="F11" s="32" t="s">
        <v>94</v>
      </c>
      <c r="G11" s="35"/>
      <c r="H11" s="36"/>
      <c r="I11" s="36"/>
      <c r="J11" s="131"/>
    </row>
    <row r="12" spans="1:10" x14ac:dyDescent="0.3">
      <c r="C12" s="182" t="s">
        <v>453</v>
      </c>
      <c r="D12" s="128"/>
      <c r="F12" s="32" t="s">
        <v>96</v>
      </c>
      <c r="G12" s="175"/>
      <c r="H12" s="176"/>
      <c r="I12" s="182" t="s">
        <v>440</v>
      </c>
      <c r="J12" s="128"/>
    </row>
    <row r="13" spans="1:10" x14ac:dyDescent="0.3">
      <c r="C13" s="182" t="s">
        <v>458</v>
      </c>
      <c r="D13" s="128"/>
    </row>
    <row r="14" spans="1:10" x14ac:dyDescent="0.3">
      <c r="C14" s="182" t="s">
        <v>450</v>
      </c>
      <c r="D14" s="128"/>
      <c r="F14" s="32" t="s">
        <v>533</v>
      </c>
      <c r="G14" s="35"/>
      <c r="H14" s="131"/>
    </row>
    <row r="15" spans="1:10" x14ac:dyDescent="0.3">
      <c r="C15" s="182" t="s">
        <v>451</v>
      </c>
      <c r="D15" s="129"/>
      <c r="F15" s="32" t="s">
        <v>534</v>
      </c>
      <c r="G15" s="35"/>
      <c r="H15" s="131"/>
    </row>
    <row r="16" spans="1:10" x14ac:dyDescent="0.3">
      <c r="C16" s="32" t="s">
        <v>532</v>
      </c>
      <c r="D16" s="69"/>
      <c r="E16" s="14"/>
    </row>
    <row r="17" spans="3:16" x14ac:dyDescent="0.3">
      <c r="C17" s="162" t="s">
        <v>543</v>
      </c>
      <c r="D17" s="3"/>
    </row>
    <row r="19" spans="3:16" x14ac:dyDescent="0.3">
      <c r="K19" s="360" t="s">
        <v>551</v>
      </c>
      <c r="L19" s="360"/>
      <c r="M19" s="360"/>
    </row>
    <row r="20" spans="3:16" ht="43.2" x14ac:dyDescent="0.3">
      <c r="D20" s="185" t="s">
        <v>544</v>
      </c>
      <c r="E20" s="185" t="s">
        <v>545</v>
      </c>
      <c r="F20" s="185" t="s">
        <v>546</v>
      </c>
      <c r="G20" s="185" t="s">
        <v>547</v>
      </c>
      <c r="H20" s="185" t="s">
        <v>548</v>
      </c>
      <c r="I20" s="186" t="s">
        <v>558</v>
      </c>
      <c r="J20" s="186" t="s">
        <v>559</v>
      </c>
      <c r="K20" s="185" t="s">
        <v>552</v>
      </c>
      <c r="L20" s="185" t="s">
        <v>553</v>
      </c>
      <c r="M20" s="185" t="s">
        <v>554</v>
      </c>
      <c r="N20" s="186" t="s">
        <v>560</v>
      </c>
      <c r="O20" s="185" t="s">
        <v>556</v>
      </c>
      <c r="P20" s="185" t="s">
        <v>118</v>
      </c>
    </row>
    <row r="21" spans="3:16" x14ac:dyDescent="0.3">
      <c r="D21" s="3"/>
      <c r="E21" s="132"/>
      <c r="F21" s="3"/>
      <c r="G21" s="3"/>
      <c r="H21" s="3"/>
      <c r="I21" s="3"/>
      <c r="J21" s="3"/>
      <c r="K21" s="3"/>
      <c r="L21" s="3"/>
      <c r="M21" s="3"/>
      <c r="N21" s="3"/>
      <c r="O21" s="3"/>
      <c r="P21" s="3" t="s">
        <v>557</v>
      </c>
    </row>
    <row r="22" spans="3:16" x14ac:dyDescent="0.3">
      <c r="D22" s="3"/>
      <c r="E22" s="13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3:16" x14ac:dyDescent="0.3">
      <c r="D23" s="3"/>
      <c r="E23" s="13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3:16" x14ac:dyDescent="0.3">
      <c r="D24" s="3"/>
      <c r="E24" s="13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3:16" x14ac:dyDescent="0.3">
      <c r="D25" s="3"/>
      <c r="E25" s="13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3:16" x14ac:dyDescent="0.3">
      <c r="F26" s="143" t="s">
        <v>561</v>
      </c>
      <c r="G26" s="187"/>
      <c r="H26" s="187"/>
      <c r="I26" s="187"/>
      <c r="J26" s="187"/>
    </row>
    <row r="28" spans="3:16" x14ac:dyDescent="0.3">
      <c r="O28" s="188"/>
    </row>
    <row r="30" spans="3:16" x14ac:dyDescent="0.3">
      <c r="P30" s="99" t="s">
        <v>567</v>
      </c>
    </row>
  </sheetData>
  <mergeCells count="1">
    <mergeCell ref="K19:M19"/>
  </mergeCells>
  <hyperlinks>
    <hyperlink ref="A1" location="Menu!A1" display="Menu"/>
    <hyperlink ref="P30" location="'Shipment Booking List'!A1" display="'Shipment Booking List'!A1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449" r:id="rId3" name="Check Box 1">
              <controlPr defaultSize="0" autoFill="0" autoLine="0" autoPict="0">
                <anchor moveWithCells="1">
                  <from>
                    <xdr:col>3</xdr:col>
                    <xdr:colOff>0</xdr:colOff>
                    <xdr:row>4</xdr:row>
                    <xdr:rowOff>7620</xdr:rowOff>
                  </from>
                  <to>
                    <xdr:col>3</xdr:col>
                    <xdr:colOff>1196340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50" r:id="rId4" name="Check Box 2">
              <controlPr defaultSize="0" autoFill="0" autoLine="0" autoPict="0">
                <anchor moveWithCells="1">
                  <from>
                    <xdr:col>6</xdr:col>
                    <xdr:colOff>0</xdr:colOff>
                    <xdr:row>4</xdr:row>
                    <xdr:rowOff>7620</xdr:rowOff>
                  </from>
                  <to>
                    <xdr:col>7</xdr:col>
                    <xdr:colOff>586740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51" r:id="rId5" name="Check Box 3">
              <controlPr defaultSize="0" autoFill="0" autoLine="0" autoPict="0">
                <anchor moveWithCells="1">
                  <from>
                    <xdr:col>6</xdr:col>
                    <xdr:colOff>0</xdr:colOff>
                    <xdr:row>4</xdr:row>
                    <xdr:rowOff>7620</xdr:rowOff>
                  </from>
                  <to>
                    <xdr:col>7</xdr:col>
                    <xdr:colOff>586740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52" r:id="rId6" name="Button 4">
              <controlPr defaultSize="0" print="0" autoFill="0" autoPict="0" macro="[0]!Select">
                <anchor moveWithCells="1">
                  <from>
                    <xdr:col>4</xdr:col>
                    <xdr:colOff>45720</xdr:colOff>
                    <xdr:row>1</xdr:row>
                    <xdr:rowOff>0</xdr:rowOff>
                  </from>
                  <to>
                    <xdr:col>4</xdr:col>
                    <xdr:colOff>632460</xdr:colOff>
                    <xdr:row>2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6"/>
  <sheetViews>
    <sheetView showGridLines="0" workbookViewId="0"/>
  </sheetViews>
  <sheetFormatPr defaultRowHeight="14.4" x14ac:dyDescent="0.3"/>
  <cols>
    <col min="2" max="2" width="20.109375" bestFit="1" customWidth="1"/>
    <col min="3" max="3" width="19.5546875" customWidth="1"/>
    <col min="4" max="4" width="14.44140625" customWidth="1"/>
    <col min="5" max="5" width="15" style="32" bestFit="1" customWidth="1"/>
    <col min="6" max="6" width="12.33203125" bestFit="1" customWidth="1"/>
    <col min="7" max="7" width="9.77734375" bestFit="1" customWidth="1"/>
    <col min="8" max="8" width="9" bestFit="1" customWidth="1"/>
    <col min="9" max="9" width="17.33203125" bestFit="1" customWidth="1"/>
    <col min="10" max="10" width="10.88671875" bestFit="1" customWidth="1"/>
    <col min="11" max="12" width="10.33203125" bestFit="1" customWidth="1"/>
  </cols>
  <sheetData>
    <row r="1" spans="1:14" x14ac:dyDescent="0.3">
      <c r="A1" s="2" t="s">
        <v>119</v>
      </c>
    </row>
    <row r="2" spans="1:14" x14ac:dyDescent="0.3">
      <c r="H2" s="21"/>
      <c r="I2" s="21"/>
      <c r="J2" s="21"/>
      <c r="K2" s="21"/>
    </row>
    <row r="3" spans="1:14" x14ac:dyDescent="0.3">
      <c r="B3" s="41"/>
      <c r="C3" s="41"/>
      <c r="D3" s="41"/>
      <c r="E3" s="41"/>
      <c r="F3" s="41"/>
      <c r="G3" s="41"/>
      <c r="H3" s="41"/>
      <c r="I3" s="41" t="s">
        <v>568</v>
      </c>
      <c r="J3" s="41"/>
      <c r="K3" s="41"/>
    </row>
    <row r="4" spans="1:14" x14ac:dyDescent="0.3">
      <c r="E4"/>
    </row>
    <row r="5" spans="1:14" x14ac:dyDescent="0.3">
      <c r="E5"/>
      <c r="F5" s="32"/>
    </row>
    <row r="6" spans="1:14" x14ac:dyDescent="0.3">
      <c r="B6" s="182" t="s">
        <v>442</v>
      </c>
      <c r="C6" s="128"/>
      <c r="D6" s="32"/>
      <c r="E6" s="32" t="s">
        <v>115</v>
      </c>
      <c r="F6" s="164"/>
      <c r="G6" s="177"/>
      <c r="H6" s="177"/>
      <c r="I6" s="178"/>
    </row>
    <row r="7" spans="1:14" x14ac:dyDescent="0.3">
      <c r="B7" s="182" t="s">
        <v>452</v>
      </c>
      <c r="C7" s="128"/>
      <c r="D7" s="32"/>
      <c r="E7" s="32" t="s">
        <v>94</v>
      </c>
      <c r="F7" s="35"/>
      <c r="G7" s="36"/>
      <c r="H7" s="36"/>
      <c r="I7" s="131"/>
    </row>
    <row r="8" spans="1:14" x14ac:dyDescent="0.3">
      <c r="B8" s="182" t="s">
        <v>453</v>
      </c>
      <c r="C8" s="128"/>
      <c r="D8" s="32"/>
      <c r="E8" s="32" t="s">
        <v>96</v>
      </c>
      <c r="F8" s="175"/>
      <c r="G8" s="176"/>
      <c r="H8" s="182" t="s">
        <v>440</v>
      </c>
      <c r="I8" s="128"/>
    </row>
    <row r="9" spans="1:14" x14ac:dyDescent="0.3">
      <c r="B9" s="182" t="s">
        <v>458</v>
      </c>
      <c r="C9" s="128"/>
      <c r="D9" s="32"/>
      <c r="E9"/>
    </row>
    <row r="10" spans="1:14" x14ac:dyDescent="0.3">
      <c r="B10" s="182" t="s">
        <v>450</v>
      </c>
      <c r="C10" s="128"/>
      <c r="D10" s="32"/>
      <c r="E10" s="32" t="s">
        <v>533</v>
      </c>
      <c r="F10" s="189">
        <v>46259</v>
      </c>
      <c r="G10" s="131"/>
    </row>
    <row r="11" spans="1:14" x14ac:dyDescent="0.3">
      <c r="B11" s="182" t="s">
        <v>451</v>
      </c>
      <c r="C11" s="129"/>
      <c r="D11" s="32"/>
      <c r="E11" s="32" t="s">
        <v>534</v>
      </c>
      <c r="F11" s="189">
        <v>46275</v>
      </c>
      <c r="G11" s="131"/>
    </row>
    <row r="12" spans="1:14" x14ac:dyDescent="0.3">
      <c r="B12" s="32" t="s">
        <v>532</v>
      </c>
      <c r="C12" s="69"/>
      <c r="D12" s="14"/>
      <c r="E12"/>
    </row>
    <row r="13" spans="1:14" x14ac:dyDescent="0.3">
      <c r="B13" s="162" t="s">
        <v>543</v>
      </c>
      <c r="C13" s="3"/>
      <c r="D13" t="s">
        <v>569</v>
      </c>
    </row>
    <row r="14" spans="1:14" x14ac:dyDescent="0.3">
      <c r="D14" t="s">
        <v>570</v>
      </c>
    </row>
    <row r="16" spans="1:14" ht="43.2" x14ac:dyDescent="0.3">
      <c r="C16" s="185" t="s">
        <v>544</v>
      </c>
      <c r="D16" s="185" t="s">
        <v>545</v>
      </c>
      <c r="E16" s="185" t="s">
        <v>546</v>
      </c>
      <c r="F16" s="185" t="s">
        <v>547</v>
      </c>
      <c r="G16" s="185" t="s">
        <v>548</v>
      </c>
      <c r="H16" s="186" t="s">
        <v>558</v>
      </c>
      <c r="I16" s="186" t="s">
        <v>559</v>
      </c>
      <c r="J16" s="185" t="s">
        <v>552</v>
      </c>
      <c r="K16" s="185" t="s">
        <v>553</v>
      </c>
      <c r="L16" s="185" t="s">
        <v>554</v>
      </c>
      <c r="M16" s="186" t="s">
        <v>560</v>
      </c>
      <c r="N16" s="185" t="s">
        <v>556</v>
      </c>
    </row>
    <row r="17" spans="3:14" x14ac:dyDescent="0.3">
      <c r="C17" s="3"/>
      <c r="D17" s="3"/>
      <c r="E17" s="132"/>
      <c r="F17" s="3"/>
      <c r="G17" s="3"/>
      <c r="H17" s="3"/>
      <c r="I17" s="3"/>
      <c r="J17" s="3"/>
      <c r="K17" s="3"/>
      <c r="L17" s="3"/>
      <c r="M17" s="3"/>
      <c r="N17" s="3"/>
    </row>
    <row r="18" spans="3:14" x14ac:dyDescent="0.3">
      <c r="C18" s="3"/>
      <c r="D18" s="3"/>
      <c r="E18" s="132"/>
      <c r="F18" s="3"/>
      <c r="G18" s="3"/>
      <c r="H18" s="3"/>
      <c r="I18" s="3"/>
      <c r="J18" s="3"/>
      <c r="K18" s="3"/>
      <c r="L18" s="3"/>
      <c r="M18" s="3"/>
      <c r="N18" s="3"/>
    </row>
    <row r="20" spans="3:14" x14ac:dyDescent="0.3">
      <c r="C20" s="169" t="s">
        <v>577</v>
      </c>
      <c r="D20" s="44"/>
      <c r="E20" s="155"/>
      <c r="F20" s="44"/>
      <c r="G20" s="44"/>
      <c r="H20" s="44"/>
      <c r="I20" s="44"/>
      <c r="J20" s="45"/>
    </row>
    <row r="21" spans="3:14" x14ac:dyDescent="0.3">
      <c r="C21" s="3" t="s">
        <v>36</v>
      </c>
      <c r="D21" s="3" t="s">
        <v>573</v>
      </c>
      <c r="E21" s="132" t="s">
        <v>574</v>
      </c>
      <c r="F21" s="3" t="s">
        <v>575</v>
      </c>
      <c r="G21" s="21"/>
      <c r="H21" s="21"/>
      <c r="I21" s="21"/>
      <c r="J21" s="48"/>
    </row>
    <row r="22" spans="3:14" x14ac:dyDescent="0.3">
      <c r="C22" s="3"/>
      <c r="D22" s="3"/>
      <c r="E22" s="132"/>
      <c r="F22" s="3"/>
      <c r="G22" s="21"/>
      <c r="H22" s="21"/>
      <c r="I22" s="21"/>
      <c r="J22" s="48"/>
    </row>
    <row r="23" spans="3:14" x14ac:dyDescent="0.3">
      <c r="C23" s="46"/>
      <c r="D23" s="21"/>
      <c r="E23" s="49"/>
      <c r="F23" s="21"/>
      <c r="G23" s="21"/>
      <c r="H23" s="21"/>
      <c r="I23" s="21"/>
      <c r="J23" s="48"/>
    </row>
    <row r="24" spans="3:14" x14ac:dyDescent="0.3">
      <c r="C24" s="6" t="s">
        <v>576</v>
      </c>
      <c r="D24" s="6" t="s">
        <v>151</v>
      </c>
      <c r="E24" s="6" t="s">
        <v>571</v>
      </c>
      <c r="F24" s="6" t="s">
        <v>34</v>
      </c>
      <c r="G24" s="6" t="s">
        <v>35</v>
      </c>
      <c r="H24" s="6" t="s">
        <v>487</v>
      </c>
      <c r="I24" s="6" t="s">
        <v>488</v>
      </c>
      <c r="J24" s="48"/>
    </row>
    <row r="25" spans="3:14" x14ac:dyDescent="0.3">
      <c r="C25" s="3"/>
      <c r="D25" s="3"/>
      <c r="E25" s="132"/>
      <c r="F25" s="3"/>
      <c r="G25" s="3"/>
      <c r="H25" s="3"/>
      <c r="I25" s="3"/>
      <c r="J25" s="48" t="s">
        <v>572</v>
      </c>
    </row>
    <row r="26" spans="3:14" x14ac:dyDescent="0.3">
      <c r="C26" s="46"/>
      <c r="D26" s="21"/>
      <c r="E26" s="49"/>
      <c r="F26" s="21"/>
      <c r="G26" s="21"/>
      <c r="H26" s="21"/>
      <c r="I26" s="21"/>
      <c r="J26" s="48"/>
    </row>
    <row r="27" spans="3:14" x14ac:dyDescent="0.3">
      <c r="C27" s="6" t="s">
        <v>576</v>
      </c>
      <c r="D27" s="6" t="s">
        <v>151</v>
      </c>
      <c r="E27" s="6" t="s">
        <v>571</v>
      </c>
      <c r="F27" s="6" t="s">
        <v>34</v>
      </c>
      <c r="G27" s="6" t="s">
        <v>35</v>
      </c>
      <c r="H27" s="6" t="s">
        <v>487</v>
      </c>
      <c r="I27" s="6" t="s">
        <v>488</v>
      </c>
      <c r="J27" s="48"/>
    </row>
    <row r="28" spans="3:14" x14ac:dyDescent="0.3">
      <c r="C28" s="3"/>
      <c r="D28" s="3"/>
      <c r="E28" s="132"/>
      <c r="F28" s="3"/>
      <c r="G28" s="3"/>
      <c r="H28" s="3"/>
      <c r="I28" s="3"/>
      <c r="J28" s="48"/>
    </row>
    <row r="29" spans="3:14" x14ac:dyDescent="0.3">
      <c r="C29" s="46"/>
      <c r="D29" s="21"/>
      <c r="E29" s="49"/>
      <c r="F29" s="21"/>
      <c r="G29" s="21"/>
      <c r="H29" s="21"/>
      <c r="I29" s="21"/>
      <c r="J29" s="48"/>
    </row>
    <row r="30" spans="3:14" x14ac:dyDescent="0.3">
      <c r="C30" s="50"/>
      <c r="D30" s="1"/>
      <c r="E30" s="161"/>
      <c r="F30" s="1"/>
      <c r="G30" s="1"/>
      <c r="H30" s="1"/>
      <c r="I30" s="1"/>
      <c r="J30" s="51"/>
    </row>
    <row r="32" spans="3:14" x14ac:dyDescent="0.3">
      <c r="C32" s="169" t="s">
        <v>578</v>
      </c>
      <c r="D32" s="44"/>
      <c r="E32" s="155"/>
      <c r="F32" s="44"/>
      <c r="G32" s="44"/>
      <c r="H32" s="44"/>
      <c r="I32" s="44"/>
      <c r="J32" s="45"/>
    </row>
    <row r="33" spans="3:10" x14ac:dyDescent="0.3">
      <c r="C33" s="3" t="s">
        <v>36</v>
      </c>
      <c r="D33" s="3" t="s">
        <v>573</v>
      </c>
      <c r="E33" s="132" t="s">
        <v>574</v>
      </c>
      <c r="F33" s="3" t="s">
        <v>575</v>
      </c>
      <c r="G33" s="21"/>
      <c r="H33" s="21"/>
      <c r="I33" s="21"/>
      <c r="J33" s="48"/>
    </row>
    <row r="34" spans="3:10" x14ac:dyDescent="0.3">
      <c r="C34" s="3"/>
      <c r="D34" s="3"/>
      <c r="E34" s="132"/>
      <c r="F34" s="3"/>
      <c r="G34" s="21"/>
      <c r="H34" s="21"/>
      <c r="I34" s="21"/>
      <c r="J34" s="48"/>
    </row>
    <row r="35" spans="3:10" x14ac:dyDescent="0.3">
      <c r="C35" s="46"/>
      <c r="D35" s="21"/>
      <c r="E35" s="49"/>
      <c r="F35" s="21"/>
      <c r="G35" s="21"/>
      <c r="H35" s="21"/>
      <c r="I35" s="21"/>
      <c r="J35" s="48"/>
    </row>
    <row r="36" spans="3:10" x14ac:dyDescent="0.3">
      <c r="C36" s="6" t="s">
        <v>576</v>
      </c>
      <c r="D36" s="6" t="s">
        <v>151</v>
      </c>
      <c r="E36" s="6" t="s">
        <v>571</v>
      </c>
      <c r="F36" s="6" t="s">
        <v>34</v>
      </c>
      <c r="G36" s="6" t="s">
        <v>35</v>
      </c>
      <c r="H36" s="6" t="s">
        <v>487</v>
      </c>
      <c r="I36" s="6" t="s">
        <v>488</v>
      </c>
      <c r="J36" s="48"/>
    </row>
    <row r="37" spans="3:10" x14ac:dyDescent="0.3">
      <c r="C37" s="3"/>
      <c r="D37" s="3"/>
      <c r="E37" s="132"/>
      <c r="F37" s="3"/>
      <c r="G37" s="3"/>
      <c r="H37" s="3"/>
      <c r="I37" s="3"/>
      <c r="J37" s="48" t="s">
        <v>572</v>
      </c>
    </row>
    <row r="38" spans="3:10" x14ac:dyDescent="0.3">
      <c r="C38" s="46"/>
      <c r="D38" s="21"/>
      <c r="E38" s="49"/>
      <c r="F38" s="21"/>
      <c r="G38" s="21"/>
      <c r="H38" s="21"/>
      <c r="I38" s="21"/>
      <c r="J38" s="48"/>
    </row>
    <row r="39" spans="3:10" x14ac:dyDescent="0.3">
      <c r="C39" s="6" t="s">
        <v>576</v>
      </c>
      <c r="D39" s="6" t="s">
        <v>151</v>
      </c>
      <c r="E39" s="6" t="s">
        <v>571</v>
      </c>
      <c r="F39" s="6" t="s">
        <v>34</v>
      </c>
      <c r="G39" s="6" t="s">
        <v>35</v>
      </c>
      <c r="H39" s="6" t="s">
        <v>487</v>
      </c>
      <c r="I39" s="6" t="s">
        <v>488</v>
      </c>
      <c r="J39" s="48"/>
    </row>
    <row r="40" spans="3:10" x14ac:dyDescent="0.3">
      <c r="C40" s="3"/>
      <c r="D40" s="3"/>
      <c r="E40" s="132"/>
      <c r="F40" s="3"/>
      <c r="G40" s="3"/>
      <c r="H40" s="3"/>
      <c r="I40" s="3"/>
      <c r="J40" s="48"/>
    </row>
    <row r="41" spans="3:10" x14ac:dyDescent="0.3">
      <c r="C41" s="3"/>
      <c r="D41" s="3"/>
      <c r="E41" s="132"/>
      <c r="F41" s="3"/>
      <c r="G41" s="3"/>
      <c r="H41" s="3"/>
      <c r="I41" s="3"/>
      <c r="J41" s="48"/>
    </row>
    <row r="42" spans="3:10" x14ac:dyDescent="0.3">
      <c r="C42" s="3"/>
      <c r="D42" s="3"/>
      <c r="E42" s="132"/>
      <c r="F42" s="3"/>
      <c r="G42" s="3"/>
      <c r="H42" s="3"/>
      <c r="I42" s="3"/>
      <c r="J42" s="51"/>
    </row>
    <row r="44" spans="3:10" x14ac:dyDescent="0.3">
      <c r="I44" s="11" t="s">
        <v>106</v>
      </c>
    </row>
    <row r="46" spans="3:10" x14ac:dyDescent="0.3">
      <c r="I46" s="2" t="s">
        <v>579</v>
      </c>
    </row>
  </sheetData>
  <hyperlinks>
    <hyperlink ref="A1" location="Menu!A1" display="Menu"/>
    <hyperlink ref="I46" location="'Shipment Booking List'!A1" display="back to booking list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474" r:id="rId3" name="Drop Down 2">
              <controlPr defaultSize="0" autoLine="0" autoPict="0">
                <anchor moveWithCells="1">
                  <from>
                    <xdr:col>3</xdr:col>
                    <xdr:colOff>38100</xdr:colOff>
                    <xdr:row>24</xdr:row>
                    <xdr:rowOff>7620</xdr:rowOff>
                  </from>
                  <to>
                    <xdr:col>3</xdr:col>
                    <xdr:colOff>982980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77" r:id="rId4" name="Drop Down 5">
              <controlPr defaultSize="0" autoLine="0" autoPict="0">
                <anchor moveWithCells="1">
                  <from>
                    <xdr:col>3</xdr:col>
                    <xdr:colOff>38100</xdr:colOff>
                    <xdr:row>36</xdr:row>
                    <xdr:rowOff>7620</xdr:rowOff>
                  </from>
                  <to>
                    <xdr:col>3</xdr:col>
                    <xdr:colOff>982980</xdr:colOff>
                    <xdr:row>37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48"/>
  <sheetViews>
    <sheetView showGridLines="0" topLeftCell="A7" workbookViewId="0">
      <selection activeCell="C25" sqref="C25:J25"/>
    </sheetView>
  </sheetViews>
  <sheetFormatPr defaultRowHeight="14.4" x14ac:dyDescent="0.3"/>
  <cols>
    <col min="2" max="2" width="20.109375" bestFit="1" customWidth="1"/>
    <col min="3" max="3" width="19.5546875" customWidth="1"/>
    <col min="4" max="4" width="14.44140625" customWidth="1"/>
    <col min="5" max="5" width="15" style="32" bestFit="1" customWidth="1"/>
    <col min="6" max="6" width="12.33203125" bestFit="1" customWidth="1"/>
    <col min="7" max="7" width="9.77734375" bestFit="1" customWidth="1"/>
    <col min="8" max="8" width="9" bestFit="1" customWidth="1"/>
    <col min="9" max="9" width="17.33203125" bestFit="1" customWidth="1"/>
    <col min="10" max="10" width="10.88671875" bestFit="1" customWidth="1"/>
    <col min="11" max="12" width="10.33203125" bestFit="1" customWidth="1"/>
  </cols>
  <sheetData>
    <row r="1" spans="1:15" x14ac:dyDescent="0.3">
      <c r="A1" s="2" t="s">
        <v>119</v>
      </c>
    </row>
    <row r="2" spans="1:15" x14ac:dyDescent="0.3">
      <c r="H2" s="21"/>
      <c r="I2" s="21"/>
      <c r="J2" s="21"/>
      <c r="K2" s="21"/>
    </row>
    <row r="3" spans="1:15" x14ac:dyDescent="0.3">
      <c r="B3" s="41"/>
      <c r="C3" s="41"/>
      <c r="D3" s="41"/>
      <c r="E3" s="41"/>
      <c r="F3" s="41"/>
      <c r="G3" s="41"/>
      <c r="H3" s="41"/>
      <c r="I3" s="41" t="s">
        <v>667</v>
      </c>
      <c r="J3" s="41"/>
      <c r="K3" s="41"/>
    </row>
    <row r="4" spans="1:15" x14ac:dyDescent="0.3">
      <c r="E4"/>
    </row>
    <row r="5" spans="1:15" x14ac:dyDescent="0.3">
      <c r="E5"/>
      <c r="F5" s="32"/>
    </row>
    <row r="6" spans="1:15" x14ac:dyDescent="0.3">
      <c r="B6" s="182" t="s">
        <v>442</v>
      </c>
      <c r="C6" s="128"/>
      <c r="D6" s="32"/>
      <c r="E6" s="32" t="s">
        <v>115</v>
      </c>
      <c r="F6" s="164"/>
      <c r="G6" s="177"/>
      <c r="H6" s="177"/>
      <c r="I6" s="178"/>
    </row>
    <row r="7" spans="1:15" x14ac:dyDescent="0.3">
      <c r="B7" s="182" t="s">
        <v>452</v>
      </c>
      <c r="C7" s="128"/>
      <c r="D7" s="32"/>
      <c r="E7" s="32" t="s">
        <v>94</v>
      </c>
      <c r="F7" s="35"/>
      <c r="G7" s="36"/>
      <c r="H7" s="36"/>
      <c r="I7" s="131"/>
    </row>
    <row r="8" spans="1:15" x14ac:dyDescent="0.3">
      <c r="B8" s="182" t="s">
        <v>453</v>
      </c>
      <c r="C8" s="128"/>
      <c r="D8" s="32"/>
      <c r="E8" s="32" t="s">
        <v>96</v>
      </c>
      <c r="F8" s="175"/>
      <c r="G8" s="176"/>
      <c r="H8" s="182" t="s">
        <v>440</v>
      </c>
      <c r="I8" s="128"/>
    </row>
    <row r="9" spans="1:15" x14ac:dyDescent="0.3">
      <c r="B9" s="182" t="s">
        <v>458</v>
      </c>
      <c r="C9" s="128"/>
      <c r="D9" s="32"/>
      <c r="E9"/>
    </row>
    <row r="10" spans="1:15" x14ac:dyDescent="0.3">
      <c r="B10" s="182" t="s">
        <v>661</v>
      </c>
      <c r="C10" s="128"/>
      <c r="D10" s="32"/>
      <c r="E10" s="32" t="s">
        <v>533</v>
      </c>
      <c r="F10" s="189">
        <v>46259</v>
      </c>
      <c r="G10" s="131"/>
    </row>
    <row r="11" spans="1:15" x14ac:dyDescent="0.3">
      <c r="B11" s="182" t="s">
        <v>662</v>
      </c>
      <c r="C11" s="129"/>
      <c r="D11" s="32"/>
      <c r="E11" s="32" t="s">
        <v>534</v>
      </c>
      <c r="F11" s="189">
        <v>46275</v>
      </c>
      <c r="G11" s="131"/>
    </row>
    <row r="12" spans="1:15" x14ac:dyDescent="0.3">
      <c r="B12" s="32" t="s">
        <v>532</v>
      </c>
      <c r="C12" s="69"/>
      <c r="D12" s="14"/>
      <c r="E12"/>
    </row>
    <row r="13" spans="1:15" x14ac:dyDescent="0.3">
      <c r="B13" s="162" t="s">
        <v>543</v>
      </c>
      <c r="C13" s="3"/>
      <c r="D13" t="s">
        <v>569</v>
      </c>
    </row>
    <row r="14" spans="1:15" x14ac:dyDescent="0.3">
      <c r="D14" t="s">
        <v>570</v>
      </c>
    </row>
    <row r="16" spans="1:15" ht="57.6" x14ac:dyDescent="0.3">
      <c r="C16" s="185" t="s">
        <v>544</v>
      </c>
      <c r="D16" s="185" t="s">
        <v>545</v>
      </c>
      <c r="E16" s="185" t="s">
        <v>546</v>
      </c>
      <c r="F16" s="185" t="s">
        <v>547</v>
      </c>
      <c r="G16" s="185" t="s">
        <v>548</v>
      </c>
      <c r="H16" s="186" t="s">
        <v>558</v>
      </c>
      <c r="I16" s="186" t="s">
        <v>559</v>
      </c>
      <c r="J16" s="185" t="s">
        <v>552</v>
      </c>
      <c r="K16" s="185" t="s">
        <v>553</v>
      </c>
      <c r="L16" s="185" t="s">
        <v>554</v>
      </c>
      <c r="M16" s="186" t="s">
        <v>560</v>
      </c>
      <c r="N16" s="186" t="s">
        <v>673</v>
      </c>
      <c r="O16" s="185" t="s">
        <v>556</v>
      </c>
    </row>
    <row r="17" spans="3:15" x14ac:dyDescent="0.3">
      <c r="C17" s="3"/>
      <c r="D17" s="3"/>
      <c r="E17" s="132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3:15" x14ac:dyDescent="0.3">
      <c r="C18" s="3"/>
      <c r="D18" s="3"/>
      <c r="E18" s="132"/>
      <c r="F18" s="3"/>
      <c r="G18" s="3"/>
      <c r="H18" s="3"/>
      <c r="I18" s="3"/>
      <c r="J18" s="3"/>
      <c r="K18" s="3"/>
      <c r="L18" s="3"/>
      <c r="M18" s="3"/>
      <c r="N18" s="3"/>
      <c r="O18" s="3"/>
    </row>
    <row r="20" spans="3:15" x14ac:dyDescent="0.3">
      <c r="C20" t="s">
        <v>676</v>
      </c>
    </row>
    <row r="21" spans="3:15" x14ac:dyDescent="0.3">
      <c r="C21" s="169" t="s">
        <v>577</v>
      </c>
      <c r="D21" s="44"/>
      <c r="E21" s="155"/>
      <c r="F21" s="44"/>
      <c r="G21" s="44"/>
      <c r="H21" s="44"/>
      <c r="I21" s="44"/>
      <c r="J21" s="45"/>
    </row>
    <row r="22" spans="3:15" x14ac:dyDescent="0.3">
      <c r="C22" s="3" t="s">
        <v>48</v>
      </c>
      <c r="D22" s="3" t="s">
        <v>573</v>
      </c>
      <c r="E22" s="132" t="s">
        <v>574</v>
      </c>
      <c r="F22" s="3" t="s">
        <v>575</v>
      </c>
      <c r="G22" s="21"/>
      <c r="H22" s="21"/>
      <c r="I22" s="21"/>
      <c r="J22" s="48"/>
    </row>
    <row r="23" spans="3:15" x14ac:dyDescent="0.3">
      <c r="C23" s="3"/>
      <c r="D23" s="3"/>
      <c r="E23" s="132"/>
      <c r="F23" s="3"/>
      <c r="G23" s="21"/>
      <c r="H23" s="21"/>
      <c r="I23" s="21"/>
      <c r="J23" s="48"/>
    </row>
    <row r="24" spans="3:15" x14ac:dyDescent="0.3">
      <c r="C24" s="46"/>
      <c r="D24" s="21"/>
      <c r="E24" s="49"/>
      <c r="F24" s="21"/>
      <c r="G24" s="21"/>
      <c r="H24" s="21"/>
      <c r="I24" s="21"/>
      <c r="J24" s="48"/>
    </row>
    <row r="25" spans="3:15" x14ac:dyDescent="0.3">
      <c r="C25" s="6" t="s">
        <v>576</v>
      </c>
      <c r="D25" s="6" t="s">
        <v>668</v>
      </c>
      <c r="E25" s="6" t="s">
        <v>669</v>
      </c>
      <c r="F25" s="201" t="s">
        <v>670</v>
      </c>
      <c r="G25" s="6" t="s">
        <v>46</v>
      </c>
      <c r="H25" s="6" t="s">
        <v>47</v>
      </c>
      <c r="I25" s="6" t="s">
        <v>671</v>
      </c>
      <c r="J25" s="6" t="s">
        <v>672</v>
      </c>
    </row>
    <row r="26" spans="3:15" x14ac:dyDescent="0.3">
      <c r="C26" s="3">
        <v>1</v>
      </c>
      <c r="D26" s="3"/>
      <c r="E26" s="132"/>
      <c r="F26" s="3"/>
      <c r="G26" s="3"/>
      <c r="H26" s="3"/>
      <c r="I26" s="3"/>
      <c r="J26" s="3"/>
      <c r="K26" s="63" t="s">
        <v>44</v>
      </c>
    </row>
    <row r="27" spans="3:15" x14ac:dyDescent="0.3">
      <c r="C27" s="46"/>
      <c r="D27" s="21"/>
      <c r="E27" s="49"/>
      <c r="G27" s="21"/>
      <c r="H27" s="21"/>
      <c r="I27" s="21"/>
      <c r="J27" s="21"/>
    </row>
    <row r="28" spans="3:15" x14ac:dyDescent="0.3">
      <c r="C28" s="6" t="s">
        <v>576</v>
      </c>
      <c r="D28" s="6" t="s">
        <v>668</v>
      </c>
      <c r="E28" s="6" t="s">
        <v>669</v>
      </c>
      <c r="F28" s="6" t="s">
        <v>670</v>
      </c>
      <c r="G28" s="6" t="s">
        <v>46</v>
      </c>
      <c r="H28" s="6" t="s">
        <v>47</v>
      </c>
      <c r="I28" s="6" t="s">
        <v>671</v>
      </c>
      <c r="J28" s="6" t="s">
        <v>672</v>
      </c>
    </row>
    <row r="29" spans="3:15" x14ac:dyDescent="0.3">
      <c r="C29" s="3"/>
      <c r="D29" s="3"/>
      <c r="E29" s="132"/>
      <c r="F29" s="3"/>
      <c r="G29" s="3"/>
      <c r="H29" s="3"/>
      <c r="I29" s="3"/>
      <c r="J29" s="3"/>
    </row>
    <row r="30" spans="3:15" x14ac:dyDescent="0.3">
      <c r="C30" s="46"/>
      <c r="D30" s="21"/>
      <c r="E30" s="49"/>
      <c r="F30" s="21"/>
      <c r="G30" s="21"/>
      <c r="H30" s="21"/>
      <c r="I30" s="21"/>
      <c r="J30" s="48"/>
    </row>
    <row r="31" spans="3:15" x14ac:dyDescent="0.3">
      <c r="C31" s="50"/>
      <c r="D31" s="1"/>
      <c r="E31" s="161"/>
      <c r="F31" s="1"/>
      <c r="G31" s="1"/>
      <c r="H31" s="1"/>
      <c r="I31" s="1"/>
      <c r="J31" s="51"/>
    </row>
    <row r="33" spans="3:11" x14ac:dyDescent="0.3">
      <c r="C33" t="s">
        <v>675</v>
      </c>
    </row>
    <row r="34" spans="3:11" x14ac:dyDescent="0.3">
      <c r="C34" s="169" t="s">
        <v>578</v>
      </c>
      <c r="D34" s="44"/>
      <c r="E34" s="155"/>
      <c r="F34" s="44"/>
      <c r="G34" s="44"/>
      <c r="H34" s="44"/>
      <c r="I34" s="44"/>
      <c r="J34" s="45"/>
    </row>
    <row r="35" spans="3:11" x14ac:dyDescent="0.3">
      <c r="C35" s="3" t="s">
        <v>48</v>
      </c>
      <c r="D35" s="3" t="s">
        <v>573</v>
      </c>
      <c r="E35" s="132" t="s">
        <v>574</v>
      </c>
      <c r="F35" s="3" t="s">
        <v>575</v>
      </c>
      <c r="G35" s="21"/>
      <c r="H35" s="21"/>
      <c r="I35" s="21"/>
      <c r="J35" s="48"/>
    </row>
    <row r="36" spans="3:11" x14ac:dyDescent="0.3">
      <c r="C36" s="3"/>
      <c r="D36" s="3"/>
      <c r="E36" s="132"/>
      <c r="F36" s="3"/>
      <c r="G36" s="21"/>
      <c r="H36" s="21"/>
      <c r="I36" s="21"/>
      <c r="J36" s="48"/>
    </row>
    <row r="37" spans="3:11" x14ac:dyDescent="0.3">
      <c r="C37" s="46"/>
      <c r="D37" s="21"/>
      <c r="E37" s="49"/>
      <c r="F37" s="21"/>
      <c r="G37" s="21"/>
      <c r="H37" s="21"/>
      <c r="I37" s="21"/>
      <c r="J37" s="48"/>
    </row>
    <row r="38" spans="3:11" x14ac:dyDescent="0.3">
      <c r="C38" s="6" t="s">
        <v>576</v>
      </c>
      <c r="D38" s="6" t="s">
        <v>668</v>
      </c>
      <c r="E38" s="6" t="s">
        <v>669</v>
      </c>
      <c r="F38" s="201" t="s">
        <v>670</v>
      </c>
      <c r="G38" s="6" t="s">
        <v>46</v>
      </c>
      <c r="H38" s="6" t="s">
        <v>47</v>
      </c>
      <c r="I38" s="6" t="s">
        <v>671</v>
      </c>
      <c r="J38" s="6" t="s">
        <v>672</v>
      </c>
    </row>
    <row r="39" spans="3:11" x14ac:dyDescent="0.3">
      <c r="C39" s="3"/>
      <c r="D39" s="3"/>
      <c r="E39" s="132"/>
      <c r="F39" s="3"/>
      <c r="G39" s="3"/>
      <c r="H39" s="3"/>
      <c r="I39" s="3"/>
      <c r="J39" s="3"/>
      <c r="K39" s="63" t="s">
        <v>44</v>
      </c>
    </row>
    <row r="40" spans="3:11" x14ac:dyDescent="0.3">
      <c r="C40" s="46"/>
      <c r="D40" s="21"/>
      <c r="E40" s="49"/>
      <c r="F40" s="21"/>
      <c r="G40" s="21"/>
      <c r="H40" s="21"/>
      <c r="I40" s="21"/>
      <c r="J40" s="48"/>
    </row>
    <row r="41" spans="3:11" x14ac:dyDescent="0.3">
      <c r="C41" s="6" t="s">
        <v>576</v>
      </c>
      <c r="D41" s="6" t="s">
        <v>668</v>
      </c>
      <c r="E41" s="6" t="s">
        <v>669</v>
      </c>
      <c r="F41" s="201" t="s">
        <v>670</v>
      </c>
      <c r="G41" s="6" t="s">
        <v>46</v>
      </c>
      <c r="H41" s="6" t="s">
        <v>47</v>
      </c>
      <c r="I41" s="6" t="s">
        <v>671</v>
      </c>
      <c r="J41" s="6" t="s">
        <v>672</v>
      </c>
    </row>
    <row r="42" spans="3:11" x14ac:dyDescent="0.3">
      <c r="C42" s="3">
        <v>1</v>
      </c>
      <c r="D42" s="3" t="s">
        <v>677</v>
      </c>
      <c r="E42" s="132" t="s">
        <v>678</v>
      </c>
      <c r="F42" s="3" t="s">
        <v>679</v>
      </c>
      <c r="G42" s="3" t="s">
        <v>680</v>
      </c>
      <c r="H42" s="3" t="s">
        <v>681</v>
      </c>
      <c r="I42" s="118">
        <v>46263</v>
      </c>
      <c r="J42" s="118">
        <v>46263</v>
      </c>
    </row>
    <row r="43" spans="3:11" x14ac:dyDescent="0.3">
      <c r="C43" s="3">
        <v>2</v>
      </c>
      <c r="D43" s="3" t="s">
        <v>677</v>
      </c>
      <c r="E43" s="132" t="s">
        <v>682</v>
      </c>
      <c r="F43" s="3" t="s">
        <v>683</v>
      </c>
      <c r="G43" s="3" t="s">
        <v>684</v>
      </c>
      <c r="H43" s="3" t="s">
        <v>685</v>
      </c>
      <c r="I43" s="118">
        <v>46264</v>
      </c>
      <c r="J43" s="118">
        <v>46264</v>
      </c>
    </row>
    <row r="44" spans="3:11" x14ac:dyDescent="0.3">
      <c r="C44" s="3">
        <v>3</v>
      </c>
      <c r="D44" s="3" t="s">
        <v>677</v>
      </c>
      <c r="E44" s="132" t="s">
        <v>686</v>
      </c>
      <c r="F44" s="3" t="s">
        <v>687</v>
      </c>
      <c r="G44" s="3" t="s">
        <v>685</v>
      </c>
      <c r="H44" s="3" t="s">
        <v>688</v>
      </c>
      <c r="I44" s="118">
        <v>46266</v>
      </c>
      <c r="J44" s="118">
        <v>46266</v>
      </c>
    </row>
    <row r="46" spans="3:11" x14ac:dyDescent="0.3">
      <c r="I46" s="11" t="s">
        <v>106</v>
      </c>
    </row>
    <row r="48" spans="3:11" x14ac:dyDescent="0.3">
      <c r="I48" s="2" t="s">
        <v>579</v>
      </c>
    </row>
  </sheetData>
  <hyperlinks>
    <hyperlink ref="A1" location="Menu!A1" display="Menu"/>
    <hyperlink ref="I48" location="'Shipment Booking List'!A1" display="back to booking list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6914" r:id="rId3" name="Drop Down 2">
              <controlPr defaultSize="0" autoLine="0" autoPict="0">
                <anchor moveWithCells="1">
                  <from>
                    <xdr:col>3</xdr:col>
                    <xdr:colOff>38100</xdr:colOff>
                    <xdr:row>38</xdr:row>
                    <xdr:rowOff>7620</xdr:rowOff>
                  </from>
                  <to>
                    <xdr:col>3</xdr:col>
                    <xdr:colOff>982980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913" r:id="rId4" name="Drop Down 1">
              <controlPr defaultSize="0" autoLine="0" autoPict="0">
                <anchor moveWithCells="1">
                  <from>
                    <xdr:col>3</xdr:col>
                    <xdr:colOff>38100</xdr:colOff>
                    <xdr:row>25</xdr:row>
                    <xdr:rowOff>7620</xdr:rowOff>
                  </from>
                  <to>
                    <xdr:col>3</xdr:col>
                    <xdr:colOff>982980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920" r:id="rId5" name="Drop Down 8">
              <controlPr defaultSize="0" autoLine="0" autoPict="0">
                <anchor moveWithCells="1">
                  <from>
                    <xdr:col>3</xdr:col>
                    <xdr:colOff>38100</xdr:colOff>
                    <xdr:row>38</xdr:row>
                    <xdr:rowOff>7620</xdr:rowOff>
                  </from>
                  <to>
                    <xdr:col>3</xdr:col>
                    <xdr:colOff>982980</xdr:colOff>
                    <xdr:row>39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1"/>
  <sheetViews>
    <sheetView showGridLines="0" workbookViewId="0"/>
  </sheetViews>
  <sheetFormatPr defaultRowHeight="14.4" x14ac:dyDescent="0.3"/>
  <cols>
    <col min="2" max="2" width="20.109375" bestFit="1" customWidth="1"/>
    <col min="3" max="3" width="19.5546875" customWidth="1"/>
    <col min="4" max="4" width="14.44140625" customWidth="1"/>
    <col min="5" max="5" width="15" style="32" bestFit="1" customWidth="1"/>
    <col min="6" max="6" width="12.33203125" bestFit="1" customWidth="1"/>
    <col min="7" max="7" width="9.77734375" bestFit="1" customWidth="1"/>
    <col min="8" max="8" width="9" bestFit="1" customWidth="1"/>
    <col min="9" max="9" width="17.33203125" bestFit="1" customWidth="1"/>
    <col min="10" max="10" width="10.88671875" bestFit="1" customWidth="1"/>
    <col min="11" max="12" width="10.33203125" bestFit="1" customWidth="1"/>
  </cols>
  <sheetData>
    <row r="1" spans="1:11" x14ac:dyDescent="0.3">
      <c r="A1" s="2" t="s">
        <v>119</v>
      </c>
    </row>
    <row r="2" spans="1:11" x14ac:dyDescent="0.3">
      <c r="H2" s="21"/>
      <c r="I2" s="21"/>
      <c r="J2" s="21"/>
      <c r="K2" s="21"/>
    </row>
    <row r="3" spans="1:11" x14ac:dyDescent="0.3">
      <c r="B3" s="41"/>
      <c r="C3" s="41"/>
      <c r="D3" s="41"/>
      <c r="E3" s="41"/>
      <c r="F3" s="41"/>
      <c r="G3" s="41"/>
      <c r="H3" s="41"/>
      <c r="I3" s="41" t="s">
        <v>700</v>
      </c>
      <c r="J3" s="41"/>
      <c r="K3" s="41"/>
    </row>
    <row r="4" spans="1:11" x14ac:dyDescent="0.3">
      <c r="E4"/>
    </row>
    <row r="5" spans="1:11" x14ac:dyDescent="0.3">
      <c r="B5" s="3" t="s">
        <v>508</v>
      </c>
      <c r="C5" s="3" t="s">
        <v>580</v>
      </c>
      <c r="D5" s="3" t="s">
        <v>118</v>
      </c>
      <c r="E5"/>
    </row>
    <row r="6" spans="1:11" x14ac:dyDescent="0.3">
      <c r="B6" s="3"/>
      <c r="C6" s="3"/>
      <c r="D6" s="3" t="s">
        <v>396</v>
      </c>
      <c r="E6"/>
    </row>
    <row r="7" spans="1:11" x14ac:dyDescent="0.3">
      <c r="B7" s="3"/>
      <c r="C7" s="3"/>
      <c r="D7" s="3"/>
      <c r="E7"/>
    </row>
    <row r="8" spans="1:11" x14ac:dyDescent="0.3">
      <c r="B8" s="3"/>
      <c r="C8" s="3"/>
      <c r="D8" s="3"/>
      <c r="E8"/>
    </row>
    <row r="9" spans="1:11" x14ac:dyDescent="0.3">
      <c r="E9"/>
    </row>
    <row r="10" spans="1:11" x14ac:dyDescent="0.3">
      <c r="B10" s="44"/>
      <c r="C10" s="44"/>
      <c r="D10" s="44"/>
      <c r="E10" s="44"/>
      <c r="F10" s="155"/>
      <c r="G10" s="44"/>
      <c r="H10" s="44"/>
      <c r="I10" s="44"/>
      <c r="J10" s="44"/>
    </row>
    <row r="11" spans="1:11" x14ac:dyDescent="0.3">
      <c r="B11" s="182" t="s">
        <v>442</v>
      </c>
      <c r="C11" s="128"/>
      <c r="D11" s="32"/>
      <c r="E11" s="32" t="s">
        <v>115</v>
      </c>
      <c r="F11" s="164"/>
      <c r="G11" s="177"/>
      <c r="H11" s="177"/>
      <c r="I11" s="178"/>
    </row>
    <row r="12" spans="1:11" x14ac:dyDescent="0.3">
      <c r="B12" s="182" t="s">
        <v>452</v>
      </c>
      <c r="C12" s="128"/>
      <c r="D12" s="32"/>
      <c r="E12" s="32" t="s">
        <v>94</v>
      </c>
      <c r="F12" s="35"/>
      <c r="G12" s="36"/>
      <c r="H12" s="36"/>
      <c r="I12" s="131"/>
    </row>
    <row r="13" spans="1:11" x14ac:dyDescent="0.3">
      <c r="B13" s="182" t="s">
        <v>453</v>
      </c>
      <c r="C13" s="128"/>
      <c r="D13" s="32"/>
      <c r="E13" s="32" t="s">
        <v>96</v>
      </c>
      <c r="F13" s="175"/>
      <c r="G13" s="176"/>
      <c r="H13" s="182" t="s">
        <v>440</v>
      </c>
      <c r="I13" s="128"/>
    </row>
    <row r="14" spans="1:11" x14ac:dyDescent="0.3">
      <c r="B14" s="182" t="s">
        <v>458</v>
      </c>
      <c r="C14" s="128"/>
      <c r="D14" s="32"/>
      <c r="E14"/>
    </row>
    <row r="15" spans="1:11" x14ac:dyDescent="0.3">
      <c r="B15" s="182" t="s">
        <v>450</v>
      </c>
      <c r="C15" s="128"/>
      <c r="D15" s="32"/>
      <c r="E15" s="32" t="s">
        <v>533</v>
      </c>
      <c r="F15" s="189">
        <v>46259</v>
      </c>
      <c r="G15" s="131"/>
    </row>
    <row r="16" spans="1:11" x14ac:dyDescent="0.3">
      <c r="B16" s="182" t="s">
        <v>451</v>
      </c>
      <c r="C16" s="129"/>
      <c r="D16" s="32"/>
      <c r="E16" s="32" t="s">
        <v>534</v>
      </c>
      <c r="F16" s="189">
        <v>46275</v>
      </c>
      <c r="G16" s="131"/>
    </row>
    <row r="17" spans="1:14" x14ac:dyDescent="0.3">
      <c r="B17" s="32" t="s">
        <v>532</v>
      </c>
      <c r="C17" s="69"/>
      <c r="D17" s="14"/>
      <c r="E17"/>
    </row>
    <row r="18" spans="1:14" x14ac:dyDescent="0.3">
      <c r="B18" s="162" t="s">
        <v>543</v>
      </c>
      <c r="C18" s="3"/>
    </row>
    <row r="20" spans="1:14" ht="43.2" x14ac:dyDescent="0.3">
      <c r="C20" s="185" t="s">
        <v>544</v>
      </c>
      <c r="D20" s="185" t="s">
        <v>545</v>
      </c>
      <c r="E20" s="185" t="s">
        <v>546</v>
      </c>
      <c r="F20" s="185" t="s">
        <v>547</v>
      </c>
      <c r="G20" s="185" t="s">
        <v>548</v>
      </c>
      <c r="H20" s="186" t="s">
        <v>558</v>
      </c>
      <c r="I20" s="186" t="s">
        <v>559</v>
      </c>
      <c r="J20" s="185" t="s">
        <v>552</v>
      </c>
      <c r="K20" s="185" t="s">
        <v>553</v>
      </c>
      <c r="L20" s="185" t="s">
        <v>554</v>
      </c>
      <c r="M20" s="186" t="s">
        <v>560</v>
      </c>
      <c r="N20" s="185" t="s">
        <v>556</v>
      </c>
    </row>
    <row r="21" spans="1:14" x14ac:dyDescent="0.3">
      <c r="A21" t="s">
        <v>619</v>
      </c>
      <c r="C21" s="3"/>
      <c r="D21" s="3"/>
      <c r="E21" s="132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3">
      <c r="A22" t="s">
        <v>618</v>
      </c>
      <c r="C22" s="3"/>
      <c r="D22" s="3"/>
      <c r="E22" s="132"/>
      <c r="F22" s="3"/>
      <c r="G22" s="3"/>
      <c r="H22" s="3"/>
      <c r="I22" s="3"/>
      <c r="J22" s="3"/>
      <c r="K22" s="3"/>
      <c r="L22" s="3"/>
      <c r="M22" s="3"/>
      <c r="N22" s="3"/>
    </row>
    <row r="24" spans="1:14" x14ac:dyDescent="0.3">
      <c r="C24" s="169" t="s">
        <v>577</v>
      </c>
      <c r="D24" s="44"/>
      <c r="E24" s="155"/>
      <c r="F24" s="44"/>
      <c r="G24" s="44"/>
      <c r="H24" s="44"/>
      <c r="I24" s="44"/>
      <c r="J24" s="45"/>
    </row>
    <row r="25" spans="1:14" x14ac:dyDescent="0.3">
      <c r="C25" s="3" t="s">
        <v>36</v>
      </c>
      <c r="D25" s="3" t="s">
        <v>573</v>
      </c>
      <c r="E25" s="132" t="s">
        <v>574</v>
      </c>
      <c r="F25" s="3" t="s">
        <v>575</v>
      </c>
      <c r="G25" s="21"/>
      <c r="H25" s="21"/>
      <c r="I25" s="21"/>
      <c r="J25" s="48"/>
    </row>
    <row r="26" spans="1:14" x14ac:dyDescent="0.3">
      <c r="C26" s="3"/>
      <c r="D26" s="3"/>
      <c r="E26" s="132"/>
      <c r="F26" s="3"/>
      <c r="G26" s="21"/>
      <c r="H26" s="21"/>
      <c r="I26" s="21"/>
      <c r="J26" s="48"/>
    </row>
    <row r="27" spans="1:14" x14ac:dyDescent="0.3">
      <c r="C27" s="46"/>
      <c r="D27" s="21"/>
      <c r="E27" s="49"/>
      <c r="F27" s="21"/>
      <c r="G27" s="21"/>
      <c r="H27" s="21"/>
      <c r="I27" s="21"/>
      <c r="J27" s="48"/>
    </row>
    <row r="28" spans="1:14" x14ac:dyDescent="0.3">
      <c r="C28" s="46"/>
      <c r="D28" s="21"/>
      <c r="E28" s="49"/>
      <c r="F28" s="21"/>
      <c r="G28" s="21"/>
      <c r="H28" s="21"/>
      <c r="I28" s="21"/>
      <c r="J28" s="48"/>
    </row>
    <row r="29" spans="1:14" x14ac:dyDescent="0.3">
      <c r="C29" s="6" t="s">
        <v>576</v>
      </c>
      <c r="D29" s="6" t="s">
        <v>151</v>
      </c>
      <c r="E29" s="6" t="s">
        <v>571</v>
      </c>
      <c r="F29" s="6" t="s">
        <v>34</v>
      </c>
      <c r="G29" s="6" t="s">
        <v>35</v>
      </c>
      <c r="H29" s="6" t="s">
        <v>487</v>
      </c>
      <c r="I29" s="6" t="s">
        <v>488</v>
      </c>
      <c r="J29" s="48"/>
    </row>
    <row r="30" spans="1:14" x14ac:dyDescent="0.3">
      <c r="C30" s="3"/>
      <c r="D30" s="3"/>
      <c r="E30" s="132"/>
      <c r="F30" s="3"/>
      <c r="G30" s="3"/>
      <c r="H30" s="3"/>
      <c r="I30" s="3"/>
      <c r="J30" s="48"/>
    </row>
    <row r="31" spans="1:14" x14ac:dyDescent="0.3">
      <c r="C31" s="46"/>
      <c r="D31" s="21"/>
      <c r="E31" s="49"/>
      <c r="F31" s="21"/>
      <c r="G31" s="21"/>
      <c r="H31" s="21"/>
      <c r="I31" s="21"/>
      <c r="J31" s="48"/>
    </row>
    <row r="32" spans="1:14" x14ac:dyDescent="0.3">
      <c r="C32" s="50"/>
      <c r="D32" s="1"/>
      <c r="E32" s="161"/>
      <c r="F32" s="1"/>
      <c r="G32" s="1"/>
      <c r="H32" s="1"/>
      <c r="I32" s="3" t="s">
        <v>581</v>
      </c>
      <c r="J32" s="3" t="s">
        <v>582</v>
      </c>
    </row>
    <row r="34" spans="3:10" x14ac:dyDescent="0.3">
      <c r="C34" t="s">
        <v>617</v>
      </c>
      <c r="D34" s="20"/>
      <c r="E34" s="127"/>
      <c r="F34" s="33"/>
      <c r="G34" s="34"/>
    </row>
    <row r="39" spans="3:10" x14ac:dyDescent="0.3">
      <c r="C39" s="169" t="s">
        <v>578</v>
      </c>
      <c r="D39" s="44"/>
      <c r="E39" s="155"/>
      <c r="F39" s="44"/>
      <c r="G39" s="44"/>
      <c r="H39" s="44"/>
      <c r="I39" s="44"/>
      <c r="J39" s="45"/>
    </row>
    <row r="40" spans="3:10" x14ac:dyDescent="0.3">
      <c r="C40" s="3" t="s">
        <v>36</v>
      </c>
      <c r="D40" s="3" t="s">
        <v>573</v>
      </c>
      <c r="E40" s="132" t="s">
        <v>574</v>
      </c>
      <c r="F40" s="3" t="s">
        <v>575</v>
      </c>
      <c r="G40" s="21"/>
      <c r="H40" s="21"/>
      <c r="I40" s="21"/>
      <c r="J40" s="48"/>
    </row>
    <row r="41" spans="3:10" x14ac:dyDescent="0.3">
      <c r="C41" s="3"/>
      <c r="D41" s="3"/>
      <c r="E41" s="132"/>
      <c r="F41" s="3"/>
      <c r="G41" s="21"/>
      <c r="H41" s="21"/>
      <c r="I41" s="21"/>
      <c r="J41" s="48"/>
    </row>
    <row r="42" spans="3:10" x14ac:dyDescent="0.3">
      <c r="C42" s="46"/>
      <c r="D42" s="21"/>
      <c r="E42" s="49"/>
      <c r="F42" s="21"/>
      <c r="G42" s="21"/>
      <c r="H42" s="21"/>
      <c r="I42" s="21"/>
      <c r="J42" s="48"/>
    </row>
    <row r="43" spans="3:10" x14ac:dyDescent="0.3">
      <c r="C43" s="46"/>
      <c r="D43" s="21"/>
      <c r="E43" s="49"/>
      <c r="F43" s="21"/>
      <c r="G43" s="21"/>
      <c r="H43" s="21"/>
      <c r="I43" s="21"/>
      <c r="J43" s="48"/>
    </row>
    <row r="44" spans="3:10" x14ac:dyDescent="0.3">
      <c r="C44" s="6" t="s">
        <v>576</v>
      </c>
      <c r="D44" s="6" t="s">
        <v>151</v>
      </c>
      <c r="E44" s="6" t="s">
        <v>571</v>
      </c>
      <c r="F44" s="6" t="s">
        <v>34</v>
      </c>
      <c r="G44" s="6" t="s">
        <v>35</v>
      </c>
      <c r="H44" s="6" t="s">
        <v>487</v>
      </c>
      <c r="I44" s="6" t="s">
        <v>488</v>
      </c>
      <c r="J44" s="48"/>
    </row>
    <row r="45" spans="3:10" x14ac:dyDescent="0.3">
      <c r="C45" s="3"/>
      <c r="D45" s="3"/>
      <c r="E45" s="132"/>
      <c r="F45" s="3"/>
      <c r="G45" s="3"/>
      <c r="H45" s="3"/>
      <c r="I45" s="3"/>
      <c r="J45" s="48"/>
    </row>
    <row r="46" spans="3:10" x14ac:dyDescent="0.3">
      <c r="C46" s="3"/>
      <c r="D46" s="3"/>
      <c r="E46" s="132"/>
      <c r="F46" s="3"/>
      <c r="G46" s="3"/>
      <c r="H46" s="3"/>
      <c r="I46" s="3"/>
      <c r="J46" s="48"/>
    </row>
    <row r="47" spans="3:10" x14ac:dyDescent="0.3">
      <c r="C47" s="3"/>
      <c r="D47" s="3"/>
      <c r="E47" s="132"/>
      <c r="F47" s="3"/>
      <c r="G47" s="3"/>
      <c r="H47" s="3"/>
      <c r="I47" s="3"/>
      <c r="J47" s="51"/>
    </row>
    <row r="49" spans="9:10" x14ac:dyDescent="0.3">
      <c r="I49" s="3" t="s">
        <v>581</v>
      </c>
      <c r="J49" s="3" t="s">
        <v>582</v>
      </c>
    </row>
    <row r="51" spans="9:10" x14ac:dyDescent="0.3">
      <c r="I51" s="2"/>
    </row>
  </sheetData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502" r:id="rId3" name="Check Box 6">
              <controlPr defaultSize="0" autoFill="0" autoLine="0" autoPict="0">
                <anchor moveWithCells="1">
                  <from>
                    <xdr:col>1</xdr:col>
                    <xdr:colOff>1135380</xdr:colOff>
                    <xdr:row>19</xdr:row>
                    <xdr:rowOff>541020</xdr:rowOff>
                  </from>
                  <to>
                    <xdr:col>2</xdr:col>
                    <xdr:colOff>464820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03" r:id="rId4" name="Check Box 7">
              <controlPr defaultSize="0" autoFill="0" autoLine="0" autoPict="0">
                <anchor moveWithCells="1">
                  <from>
                    <xdr:col>1</xdr:col>
                    <xdr:colOff>1135380</xdr:colOff>
                    <xdr:row>21</xdr:row>
                    <xdr:rowOff>15240</xdr:rowOff>
                  </from>
                  <to>
                    <xdr:col>2</xdr:col>
                    <xdr:colOff>464820</xdr:colOff>
                    <xdr:row>22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04" r:id="rId5" name="Check Box 8">
              <controlPr defaultSize="0" autoFill="0" autoLine="0" autoPict="0">
                <anchor moveWithCells="1">
                  <from>
                    <xdr:col>1</xdr:col>
                    <xdr:colOff>1150620</xdr:colOff>
                    <xdr:row>19</xdr:row>
                    <xdr:rowOff>236220</xdr:rowOff>
                  </from>
                  <to>
                    <xdr:col>2</xdr:col>
                    <xdr:colOff>480060</xdr:colOff>
                    <xdr:row>19</xdr:row>
                    <xdr:rowOff>449580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51"/>
  <sheetViews>
    <sheetView showGridLines="0" workbookViewId="0"/>
  </sheetViews>
  <sheetFormatPr defaultRowHeight="14.4" x14ac:dyDescent="0.3"/>
  <cols>
    <col min="2" max="2" width="20.109375" bestFit="1" customWidth="1"/>
    <col min="3" max="3" width="19.5546875" customWidth="1"/>
    <col min="4" max="4" width="14.44140625" customWidth="1"/>
    <col min="5" max="5" width="15" style="32" bestFit="1" customWidth="1"/>
    <col min="6" max="6" width="12.33203125" bestFit="1" customWidth="1"/>
    <col min="7" max="7" width="9.77734375" bestFit="1" customWidth="1"/>
    <col min="8" max="8" width="9" bestFit="1" customWidth="1"/>
    <col min="9" max="9" width="17.33203125" bestFit="1" customWidth="1"/>
    <col min="10" max="10" width="10.88671875" bestFit="1" customWidth="1"/>
    <col min="11" max="12" width="10.33203125" bestFit="1" customWidth="1"/>
  </cols>
  <sheetData>
    <row r="1" spans="1:11" x14ac:dyDescent="0.3">
      <c r="A1" s="2" t="s">
        <v>119</v>
      </c>
    </row>
    <row r="2" spans="1:11" x14ac:dyDescent="0.3">
      <c r="H2" s="21"/>
      <c r="I2" s="21"/>
      <c r="J2" s="21"/>
      <c r="K2" s="21"/>
    </row>
    <row r="3" spans="1:11" x14ac:dyDescent="0.3">
      <c r="B3" s="41"/>
      <c r="C3" s="41"/>
      <c r="D3" s="41"/>
      <c r="E3" s="41"/>
      <c r="F3" s="41"/>
      <c r="G3" s="41"/>
      <c r="H3" s="41"/>
      <c r="I3" s="41" t="s">
        <v>701</v>
      </c>
      <c r="J3" s="41"/>
      <c r="K3" s="41"/>
    </row>
    <row r="4" spans="1:11" x14ac:dyDescent="0.3">
      <c r="E4"/>
    </row>
    <row r="5" spans="1:11" x14ac:dyDescent="0.3">
      <c r="B5" s="3" t="s">
        <v>508</v>
      </c>
      <c r="C5" s="3" t="s">
        <v>580</v>
      </c>
      <c r="D5" s="3" t="s">
        <v>118</v>
      </c>
      <c r="E5"/>
    </row>
    <row r="6" spans="1:11" x14ac:dyDescent="0.3">
      <c r="B6" s="3"/>
      <c r="C6" s="3"/>
      <c r="D6" s="3" t="s">
        <v>396</v>
      </c>
      <c r="E6"/>
    </row>
    <row r="7" spans="1:11" x14ac:dyDescent="0.3">
      <c r="B7" s="3"/>
      <c r="C7" s="3"/>
      <c r="D7" s="3"/>
      <c r="E7"/>
    </row>
    <row r="8" spans="1:11" x14ac:dyDescent="0.3">
      <c r="B8" s="3"/>
      <c r="C8" s="3"/>
      <c r="D8" s="3"/>
      <c r="E8"/>
    </row>
    <row r="9" spans="1:11" x14ac:dyDescent="0.3">
      <c r="E9"/>
    </row>
    <row r="10" spans="1:11" x14ac:dyDescent="0.3">
      <c r="B10" s="44"/>
      <c r="C10" s="44"/>
      <c r="D10" s="44"/>
      <c r="E10" s="44"/>
      <c r="F10" s="155"/>
      <c r="G10" s="44"/>
      <c r="H10" s="44"/>
      <c r="I10" s="44"/>
      <c r="J10" s="44"/>
    </row>
    <row r="11" spans="1:11" x14ac:dyDescent="0.3">
      <c r="B11" s="182" t="s">
        <v>442</v>
      </c>
      <c r="C11" s="128"/>
      <c r="D11" s="32"/>
      <c r="E11" s="32" t="s">
        <v>115</v>
      </c>
      <c r="F11" s="164"/>
      <c r="G11" s="177"/>
      <c r="H11" s="177"/>
      <c r="I11" s="178"/>
    </row>
    <row r="12" spans="1:11" x14ac:dyDescent="0.3">
      <c r="B12" s="182" t="s">
        <v>452</v>
      </c>
      <c r="C12" s="128"/>
      <c r="D12" s="32"/>
      <c r="E12" s="32" t="s">
        <v>94</v>
      </c>
      <c r="F12" s="35"/>
      <c r="G12" s="36"/>
      <c r="H12" s="36"/>
      <c r="I12" s="131"/>
    </row>
    <row r="13" spans="1:11" x14ac:dyDescent="0.3">
      <c r="B13" s="182" t="s">
        <v>453</v>
      </c>
      <c r="C13" s="128"/>
      <c r="D13" s="32"/>
      <c r="E13" s="32" t="s">
        <v>96</v>
      </c>
      <c r="F13" s="175"/>
      <c r="G13" s="176"/>
      <c r="H13" s="182" t="s">
        <v>440</v>
      </c>
      <c r="I13" s="128"/>
    </row>
    <row r="14" spans="1:11" x14ac:dyDescent="0.3">
      <c r="B14" s="182" t="s">
        <v>702</v>
      </c>
      <c r="C14" s="128"/>
      <c r="D14" s="32"/>
      <c r="E14"/>
    </row>
    <row r="15" spans="1:11" x14ac:dyDescent="0.3">
      <c r="B15" s="182" t="s">
        <v>661</v>
      </c>
      <c r="C15" s="128"/>
      <c r="D15" s="32"/>
      <c r="E15" s="32" t="s">
        <v>533</v>
      </c>
      <c r="F15" s="189">
        <v>46259</v>
      </c>
      <c r="G15" s="131"/>
    </row>
    <row r="16" spans="1:11" x14ac:dyDescent="0.3">
      <c r="B16" s="182" t="s">
        <v>662</v>
      </c>
      <c r="C16" s="129"/>
      <c r="D16" s="32"/>
      <c r="E16" s="32" t="s">
        <v>534</v>
      </c>
      <c r="F16" s="189">
        <v>46275</v>
      </c>
      <c r="G16" s="131"/>
    </row>
    <row r="17" spans="1:15" x14ac:dyDescent="0.3">
      <c r="B17" s="32" t="s">
        <v>532</v>
      </c>
      <c r="C17" s="69"/>
      <c r="D17" s="14"/>
      <c r="E17"/>
    </row>
    <row r="18" spans="1:15" x14ac:dyDescent="0.3">
      <c r="B18" s="162" t="s">
        <v>543</v>
      </c>
      <c r="C18" s="3"/>
    </row>
    <row r="20" spans="1:15" ht="43.2" x14ac:dyDescent="0.3">
      <c r="C20" s="185" t="s">
        <v>544</v>
      </c>
      <c r="D20" s="185" t="s">
        <v>545</v>
      </c>
      <c r="E20" s="185" t="s">
        <v>546</v>
      </c>
      <c r="F20" s="185" t="s">
        <v>547</v>
      </c>
      <c r="G20" s="185" t="s">
        <v>548</v>
      </c>
      <c r="H20" s="186" t="s">
        <v>558</v>
      </c>
      <c r="I20" s="186" t="s">
        <v>559</v>
      </c>
      <c r="J20" s="185" t="s">
        <v>552</v>
      </c>
      <c r="K20" s="185" t="s">
        <v>553</v>
      </c>
      <c r="L20" s="185" t="s">
        <v>554</v>
      </c>
      <c r="M20" s="186" t="s">
        <v>560</v>
      </c>
      <c r="N20" s="186" t="s">
        <v>674</v>
      </c>
      <c r="O20" s="185" t="s">
        <v>556</v>
      </c>
    </row>
    <row r="21" spans="1:15" x14ac:dyDescent="0.3">
      <c r="A21" t="s">
        <v>619</v>
      </c>
      <c r="C21" s="3"/>
      <c r="D21" s="3"/>
      <c r="E21" s="132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3">
      <c r="A22" t="s">
        <v>618</v>
      </c>
      <c r="C22" s="3"/>
      <c r="D22" s="3"/>
      <c r="E22" s="132"/>
      <c r="F22" s="3"/>
      <c r="G22" s="3"/>
      <c r="H22" s="3"/>
      <c r="I22" s="3"/>
      <c r="J22" s="3"/>
      <c r="K22" s="3"/>
      <c r="L22" s="3"/>
      <c r="M22" s="3"/>
      <c r="N22" s="3"/>
      <c r="O22" s="3"/>
    </row>
    <row r="24" spans="1:15" x14ac:dyDescent="0.3">
      <c r="C24" s="169" t="s">
        <v>577</v>
      </c>
      <c r="D24" s="44"/>
      <c r="E24" s="155"/>
      <c r="F24" s="44"/>
      <c r="G24" s="44"/>
      <c r="H24" s="44"/>
      <c r="I24" s="44"/>
      <c r="J24" s="45"/>
    </row>
    <row r="25" spans="1:15" x14ac:dyDescent="0.3">
      <c r="C25" s="3" t="s">
        <v>48</v>
      </c>
      <c r="D25" s="3" t="s">
        <v>573</v>
      </c>
      <c r="E25" s="132" t="s">
        <v>574</v>
      </c>
      <c r="F25" s="3" t="s">
        <v>575</v>
      </c>
      <c r="G25" s="21"/>
      <c r="H25" s="21"/>
      <c r="I25" s="21"/>
      <c r="J25" s="48"/>
    </row>
    <row r="26" spans="1:15" x14ac:dyDescent="0.3">
      <c r="C26" s="3"/>
      <c r="D26" s="3"/>
      <c r="E26" s="132"/>
      <c r="F26" s="3"/>
      <c r="G26" s="21"/>
      <c r="H26" s="21"/>
      <c r="I26" s="21"/>
      <c r="J26" s="48"/>
    </row>
    <row r="27" spans="1:15" x14ac:dyDescent="0.3">
      <c r="C27" s="46"/>
      <c r="D27" s="21"/>
      <c r="E27" s="49"/>
      <c r="F27" s="21"/>
      <c r="G27" s="21"/>
      <c r="H27" s="21"/>
      <c r="I27" s="21"/>
      <c r="J27" s="48"/>
    </row>
    <row r="28" spans="1:15" x14ac:dyDescent="0.3">
      <c r="C28" s="46"/>
      <c r="D28" s="21"/>
      <c r="E28" s="49"/>
      <c r="F28" s="21"/>
      <c r="G28" s="21"/>
      <c r="H28" s="21"/>
      <c r="I28" s="21"/>
      <c r="J28" s="48"/>
    </row>
    <row r="29" spans="1:15" x14ac:dyDescent="0.3">
      <c r="C29" s="6" t="s">
        <v>576</v>
      </c>
      <c r="D29" s="6" t="s">
        <v>668</v>
      </c>
      <c r="E29" s="6" t="s">
        <v>669</v>
      </c>
      <c r="F29" s="201" t="s">
        <v>670</v>
      </c>
      <c r="G29" s="6" t="s">
        <v>46</v>
      </c>
      <c r="H29" s="6" t="s">
        <v>47</v>
      </c>
      <c r="I29" s="6" t="s">
        <v>671</v>
      </c>
      <c r="J29" s="6" t="s">
        <v>672</v>
      </c>
    </row>
    <row r="30" spans="1:15" x14ac:dyDescent="0.3">
      <c r="C30" s="3"/>
      <c r="D30" s="3"/>
      <c r="E30" s="132"/>
      <c r="F30" s="3"/>
      <c r="G30" s="3"/>
      <c r="H30" s="3"/>
      <c r="I30" s="3"/>
      <c r="J30" s="3"/>
    </row>
    <row r="31" spans="1:15" x14ac:dyDescent="0.3">
      <c r="C31" s="46"/>
      <c r="D31" s="21"/>
      <c r="E31" s="49"/>
      <c r="F31" s="21"/>
      <c r="G31" s="21"/>
      <c r="H31" s="21"/>
      <c r="I31" s="21"/>
      <c r="J31" s="48"/>
    </row>
    <row r="32" spans="1:15" x14ac:dyDescent="0.3">
      <c r="C32" s="50"/>
      <c r="D32" s="1"/>
      <c r="E32" s="161"/>
      <c r="F32" s="1"/>
      <c r="G32" s="1"/>
      <c r="H32" s="1"/>
      <c r="I32" s="3" t="s">
        <v>581</v>
      </c>
      <c r="J32" s="3" t="s">
        <v>582</v>
      </c>
    </row>
    <row r="34" spans="3:10" x14ac:dyDescent="0.3">
      <c r="C34" t="s">
        <v>617</v>
      </c>
      <c r="D34" s="20"/>
      <c r="E34" s="127"/>
      <c r="F34" s="33"/>
      <c r="G34" s="34"/>
    </row>
    <row r="37" spans="3:10" x14ac:dyDescent="0.3">
      <c r="C37" t="s">
        <v>703</v>
      </c>
    </row>
    <row r="39" spans="3:10" x14ac:dyDescent="0.3">
      <c r="C39" s="169" t="s">
        <v>578</v>
      </c>
      <c r="D39" s="44"/>
      <c r="E39" s="155"/>
      <c r="F39" s="44"/>
      <c r="G39" s="44"/>
      <c r="H39" s="44"/>
      <c r="I39" s="44"/>
      <c r="J39" s="45"/>
    </row>
    <row r="40" spans="3:10" x14ac:dyDescent="0.3">
      <c r="C40" s="3" t="s">
        <v>48</v>
      </c>
      <c r="D40" s="3" t="s">
        <v>573</v>
      </c>
      <c r="E40" s="132" t="s">
        <v>574</v>
      </c>
      <c r="F40" s="3" t="s">
        <v>575</v>
      </c>
      <c r="G40" s="21"/>
      <c r="H40" s="21"/>
      <c r="I40" s="21"/>
      <c r="J40" s="48"/>
    </row>
    <row r="41" spans="3:10" x14ac:dyDescent="0.3">
      <c r="C41" s="3"/>
      <c r="D41" s="3"/>
      <c r="E41" s="132"/>
      <c r="F41" s="3"/>
      <c r="G41" s="21"/>
      <c r="H41" s="21"/>
      <c r="I41" s="21"/>
      <c r="J41" s="48"/>
    </row>
    <row r="42" spans="3:10" x14ac:dyDescent="0.3">
      <c r="C42" s="46"/>
      <c r="D42" s="21"/>
      <c r="E42" s="49"/>
      <c r="F42" s="21"/>
      <c r="G42" s="21"/>
      <c r="H42" s="21"/>
      <c r="I42" s="21"/>
      <c r="J42" s="48"/>
    </row>
    <row r="43" spans="3:10" x14ac:dyDescent="0.3">
      <c r="C43" s="46"/>
      <c r="D43" s="21"/>
      <c r="E43" s="49"/>
      <c r="F43" s="21"/>
      <c r="G43" s="21"/>
      <c r="H43" s="21"/>
      <c r="I43" s="21"/>
      <c r="J43" s="48"/>
    </row>
    <row r="44" spans="3:10" x14ac:dyDescent="0.3">
      <c r="C44" s="6" t="s">
        <v>576</v>
      </c>
      <c r="D44" s="6" t="s">
        <v>668</v>
      </c>
      <c r="E44" s="6" t="s">
        <v>669</v>
      </c>
      <c r="F44" s="201" t="s">
        <v>670</v>
      </c>
      <c r="G44" s="6" t="s">
        <v>46</v>
      </c>
      <c r="H44" s="6" t="s">
        <v>47</v>
      </c>
      <c r="I44" s="6" t="s">
        <v>671</v>
      </c>
      <c r="J44" s="6" t="s">
        <v>672</v>
      </c>
    </row>
    <row r="45" spans="3:10" x14ac:dyDescent="0.3">
      <c r="C45" s="3"/>
      <c r="D45" s="3"/>
      <c r="E45" s="132"/>
      <c r="F45" s="3"/>
      <c r="G45" s="3"/>
      <c r="H45" s="3"/>
      <c r="I45" s="3"/>
      <c r="J45" s="3"/>
    </row>
    <row r="46" spans="3:10" x14ac:dyDescent="0.3">
      <c r="C46" s="3"/>
      <c r="D46" s="3"/>
      <c r="E46" s="132"/>
      <c r="F46" s="3"/>
      <c r="G46" s="3"/>
      <c r="H46" s="3"/>
      <c r="I46" s="3"/>
      <c r="J46" s="3"/>
    </row>
    <row r="47" spans="3:10" x14ac:dyDescent="0.3">
      <c r="C47" s="3"/>
      <c r="D47" s="3"/>
      <c r="E47" s="132"/>
      <c r="F47" s="3"/>
      <c r="G47" s="3"/>
      <c r="H47" s="3"/>
      <c r="I47" s="3"/>
      <c r="J47" s="3"/>
    </row>
    <row r="49" spans="9:10" x14ac:dyDescent="0.3">
      <c r="I49" s="3" t="s">
        <v>581</v>
      </c>
      <c r="J49" s="3" t="s">
        <v>582</v>
      </c>
    </row>
    <row r="51" spans="9:10" x14ac:dyDescent="0.3">
      <c r="I51" s="2"/>
    </row>
  </sheetData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7937" r:id="rId3" name="Check Box 1">
              <controlPr defaultSize="0" autoFill="0" autoLine="0" autoPict="0">
                <anchor moveWithCells="1">
                  <from>
                    <xdr:col>1</xdr:col>
                    <xdr:colOff>1135380</xdr:colOff>
                    <xdr:row>19</xdr:row>
                    <xdr:rowOff>541020</xdr:rowOff>
                  </from>
                  <to>
                    <xdr:col>2</xdr:col>
                    <xdr:colOff>464820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938" r:id="rId4" name="Check Box 2">
              <controlPr defaultSize="0" autoFill="0" autoLine="0" autoPict="0">
                <anchor moveWithCells="1">
                  <from>
                    <xdr:col>1</xdr:col>
                    <xdr:colOff>1135380</xdr:colOff>
                    <xdr:row>21</xdr:row>
                    <xdr:rowOff>15240</xdr:rowOff>
                  </from>
                  <to>
                    <xdr:col>2</xdr:col>
                    <xdr:colOff>464820</xdr:colOff>
                    <xdr:row>22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939" r:id="rId5" name="Check Box 3">
              <controlPr defaultSize="0" autoFill="0" autoLine="0" autoPict="0">
                <anchor moveWithCells="1">
                  <from>
                    <xdr:col>1</xdr:col>
                    <xdr:colOff>1150620</xdr:colOff>
                    <xdr:row>19</xdr:row>
                    <xdr:rowOff>236220</xdr:rowOff>
                  </from>
                  <to>
                    <xdr:col>2</xdr:col>
                    <xdr:colOff>480060</xdr:colOff>
                    <xdr:row>19</xdr:row>
                    <xdr:rowOff>449580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6"/>
  <sheetViews>
    <sheetView showGridLines="0" topLeftCell="A13" workbookViewId="0"/>
  </sheetViews>
  <sheetFormatPr defaultRowHeight="14.4" x14ac:dyDescent="0.3"/>
  <cols>
    <col min="3" max="3" width="17" bestFit="1" customWidth="1"/>
    <col min="4" max="4" width="22.77734375" bestFit="1" customWidth="1"/>
    <col min="5" max="5" width="17.21875" style="32" bestFit="1" customWidth="1"/>
    <col min="6" max="6" width="12.33203125" bestFit="1" customWidth="1"/>
    <col min="11" max="11" width="4" customWidth="1"/>
    <col min="12" max="13" width="4.109375" customWidth="1"/>
  </cols>
  <sheetData>
    <row r="1" spans="1:10" x14ac:dyDescent="0.3">
      <c r="A1" s="2" t="s">
        <v>119</v>
      </c>
    </row>
    <row r="2" spans="1:10" ht="25.8" x14ac:dyDescent="0.5">
      <c r="A2" s="2"/>
      <c r="D2" s="194" t="s">
        <v>518</v>
      </c>
      <c r="H2" s="20" t="s">
        <v>625</v>
      </c>
      <c r="I2" s="33"/>
      <c r="J2" s="34"/>
    </row>
    <row r="3" spans="1:10" x14ac:dyDescent="0.3">
      <c r="A3" s="2"/>
      <c r="D3" s="181" t="s">
        <v>623</v>
      </c>
    </row>
    <row r="4" spans="1:10" x14ac:dyDescent="0.3">
      <c r="A4" s="2"/>
    </row>
    <row r="5" spans="1:10" ht="18" x14ac:dyDescent="0.35">
      <c r="A5" s="2"/>
      <c r="F5" s="195" t="s">
        <v>624</v>
      </c>
    </row>
    <row r="6" spans="1:10" x14ac:dyDescent="0.3">
      <c r="A6" s="2"/>
    </row>
    <row r="7" spans="1:10" x14ac:dyDescent="0.3">
      <c r="C7" s="32" t="s">
        <v>508</v>
      </c>
      <c r="D7" s="128"/>
      <c r="E7" s="32" t="s">
        <v>565</v>
      </c>
      <c r="F7" s="148"/>
      <c r="G7" s="34"/>
      <c r="H7" t="s">
        <v>620</v>
      </c>
      <c r="J7" s="3"/>
    </row>
    <row r="8" spans="1:10" x14ac:dyDescent="0.3">
      <c r="C8" s="32" t="s">
        <v>114</v>
      </c>
      <c r="D8" s="129" t="s">
        <v>524</v>
      </c>
    </row>
    <row r="9" spans="1:10" x14ac:dyDescent="0.3">
      <c r="C9" s="32" t="s">
        <v>92</v>
      </c>
      <c r="D9" s="35"/>
      <c r="E9" s="130"/>
      <c r="F9" s="36"/>
      <c r="G9" s="131"/>
    </row>
    <row r="10" spans="1:10" x14ac:dyDescent="0.3">
      <c r="C10" s="32" t="s">
        <v>528</v>
      </c>
      <c r="D10" s="14"/>
      <c r="E10" s="37"/>
      <c r="G10" s="14" t="s">
        <v>529</v>
      </c>
    </row>
    <row r="11" spans="1:10" x14ac:dyDescent="0.3">
      <c r="C11" s="32"/>
      <c r="D11" s="179" t="s">
        <v>170</v>
      </c>
      <c r="E11" s="180"/>
      <c r="F11" s="14"/>
      <c r="G11" s="169" t="s">
        <v>170</v>
      </c>
      <c r="H11" s="170"/>
      <c r="I11" s="171"/>
      <c r="J11" s="172"/>
    </row>
    <row r="12" spans="1:10" x14ac:dyDescent="0.3">
      <c r="C12" s="32"/>
      <c r="D12" s="120"/>
      <c r="E12" s="166"/>
      <c r="F12" s="14"/>
      <c r="G12" s="167"/>
      <c r="H12" s="168"/>
      <c r="I12" s="44"/>
      <c r="J12" s="45"/>
    </row>
    <row r="13" spans="1:10" x14ac:dyDescent="0.3">
      <c r="C13" s="32"/>
      <c r="D13" s="174" t="s">
        <v>169</v>
      </c>
      <c r="E13" s="173"/>
      <c r="F13" s="14"/>
      <c r="G13" s="169" t="s">
        <v>169</v>
      </c>
      <c r="H13" s="170"/>
      <c r="I13" s="171"/>
      <c r="J13" s="172"/>
    </row>
    <row r="14" spans="1:10" ht="49.2" customHeight="1" x14ac:dyDescent="0.3">
      <c r="C14" s="32"/>
      <c r="D14" s="150"/>
      <c r="E14" s="165"/>
      <c r="F14" s="14"/>
      <c r="G14" s="167"/>
      <c r="H14" s="168"/>
      <c r="I14" s="44"/>
      <c r="J14" s="45"/>
    </row>
    <row r="15" spans="1:10" x14ac:dyDescent="0.3">
      <c r="C15" s="182" t="s">
        <v>442</v>
      </c>
      <c r="D15" s="128"/>
      <c r="F15" s="32" t="s">
        <v>115</v>
      </c>
      <c r="G15" s="164"/>
      <c r="H15" s="177"/>
      <c r="I15" s="177"/>
      <c r="J15" s="178"/>
    </row>
    <row r="16" spans="1:10" x14ac:dyDescent="0.3">
      <c r="C16" s="182" t="s">
        <v>452</v>
      </c>
      <c r="D16" s="128"/>
      <c r="F16" s="32" t="s">
        <v>94</v>
      </c>
      <c r="G16" s="35"/>
      <c r="H16" s="36"/>
      <c r="I16" s="36"/>
      <c r="J16" s="131"/>
    </row>
    <row r="17" spans="3:15" x14ac:dyDescent="0.3">
      <c r="C17" s="182" t="s">
        <v>453</v>
      </c>
      <c r="D17" s="128"/>
      <c r="F17" s="32" t="s">
        <v>96</v>
      </c>
      <c r="G17" s="175"/>
      <c r="H17" s="176"/>
      <c r="I17" s="182" t="s">
        <v>440</v>
      </c>
      <c r="J17" s="128"/>
    </row>
    <row r="18" spans="3:15" x14ac:dyDescent="0.3">
      <c r="C18" s="182" t="s">
        <v>458</v>
      </c>
      <c r="D18" s="128"/>
    </row>
    <row r="19" spans="3:15" x14ac:dyDescent="0.3">
      <c r="C19" s="182" t="s">
        <v>450</v>
      </c>
      <c r="D19" s="128"/>
      <c r="F19" s="182" t="s">
        <v>451</v>
      </c>
      <c r="G19" s="35"/>
      <c r="H19" s="131"/>
    </row>
    <row r="20" spans="3:15" x14ac:dyDescent="0.3">
      <c r="C20" s="162" t="s">
        <v>543</v>
      </c>
      <c r="D20" s="128"/>
      <c r="F20" s="32" t="s">
        <v>533</v>
      </c>
      <c r="G20" s="175"/>
      <c r="H20" s="176"/>
    </row>
    <row r="21" spans="3:15" x14ac:dyDescent="0.3">
      <c r="C21" s="32" t="s">
        <v>532</v>
      </c>
      <c r="D21" s="128"/>
      <c r="E21" s="14"/>
      <c r="F21" s="32" t="s">
        <v>534</v>
      </c>
      <c r="G21" s="35"/>
      <c r="H21" s="131"/>
    </row>
    <row r="22" spans="3:15" x14ac:dyDescent="0.3">
      <c r="C22" s="49" t="s">
        <v>538</v>
      </c>
      <c r="D22" s="3"/>
      <c r="F22" s="132" t="s">
        <v>621</v>
      </c>
      <c r="G22" s="20"/>
      <c r="H22" s="34"/>
    </row>
    <row r="23" spans="3:15" x14ac:dyDescent="0.3">
      <c r="C23" s="49" t="s">
        <v>531</v>
      </c>
      <c r="D23" s="3"/>
      <c r="F23" s="193" t="s">
        <v>622</v>
      </c>
      <c r="G23" s="20"/>
      <c r="H23" s="34"/>
    </row>
    <row r="24" spans="3:15" x14ac:dyDescent="0.3">
      <c r="C24" s="37" t="s">
        <v>626</v>
      </c>
    </row>
    <row r="25" spans="3:15" x14ac:dyDescent="0.3">
      <c r="K25" s="360" t="s">
        <v>551</v>
      </c>
      <c r="L25" s="360"/>
      <c r="M25" s="360"/>
    </row>
    <row r="26" spans="3:15" ht="43.2" x14ac:dyDescent="0.3">
      <c r="D26" s="185" t="s">
        <v>544</v>
      </c>
      <c r="E26" s="185" t="s">
        <v>545</v>
      </c>
      <c r="F26" s="185" t="s">
        <v>546</v>
      </c>
      <c r="G26" s="185" t="s">
        <v>547</v>
      </c>
      <c r="H26" s="185" t="s">
        <v>548</v>
      </c>
      <c r="I26" s="186" t="s">
        <v>558</v>
      </c>
      <c r="J26" s="186" t="s">
        <v>559</v>
      </c>
      <c r="K26" s="185" t="s">
        <v>552</v>
      </c>
      <c r="L26" s="185" t="s">
        <v>553</v>
      </c>
      <c r="M26" s="185" t="s">
        <v>554</v>
      </c>
      <c r="N26" s="186" t="s">
        <v>560</v>
      </c>
      <c r="O26" s="185" t="s">
        <v>556</v>
      </c>
    </row>
    <row r="27" spans="3:15" x14ac:dyDescent="0.3">
      <c r="D27" s="3"/>
      <c r="E27" s="132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3:15" x14ac:dyDescent="0.3">
      <c r="D28" s="3"/>
      <c r="E28" s="132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3:15" x14ac:dyDescent="0.3">
      <c r="D29" s="3"/>
      <c r="E29" s="132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3:15" x14ac:dyDescent="0.3">
      <c r="D30" s="3"/>
      <c r="E30" s="132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3:15" x14ac:dyDescent="0.3">
      <c r="D31" s="3"/>
      <c r="E31" s="132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3:15" x14ac:dyDescent="0.3">
      <c r="F32" s="143" t="s">
        <v>561</v>
      </c>
      <c r="G32" s="187"/>
      <c r="H32" s="187"/>
      <c r="I32" s="187"/>
      <c r="J32" s="187"/>
    </row>
    <row r="34" spans="4:15" x14ac:dyDescent="0.3">
      <c r="O34" s="188"/>
    </row>
    <row r="36" spans="4:15" x14ac:dyDescent="0.3">
      <c r="D36" s="196" t="s">
        <v>627</v>
      </c>
    </row>
  </sheetData>
  <mergeCells count="1">
    <mergeCell ref="K25:M25"/>
  </mergeCells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4929" r:id="rId3" name="Drop Down 1">
              <controlPr defaultSize="0" autoLine="0" autoPict="0">
                <anchor moveWithCells="1">
                  <from>
                    <xdr:col>3</xdr:col>
                    <xdr:colOff>7620</xdr:colOff>
                    <xdr:row>23</xdr:row>
                    <xdr:rowOff>15240</xdr:rowOff>
                  </from>
                  <to>
                    <xdr:col>4</xdr:col>
                    <xdr:colOff>15240</xdr:colOff>
                    <xdr:row>24</xdr:row>
                    <xdr:rowOff>45720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6"/>
  <sheetViews>
    <sheetView showGridLines="0" topLeftCell="A13" workbookViewId="0">
      <selection activeCell="N11" sqref="N11"/>
    </sheetView>
  </sheetViews>
  <sheetFormatPr defaultRowHeight="14.4" x14ac:dyDescent="0.3"/>
  <cols>
    <col min="3" max="3" width="17" bestFit="1" customWidth="1"/>
    <col min="4" max="4" width="22.77734375" bestFit="1" customWidth="1"/>
    <col min="5" max="5" width="17.21875" style="32" bestFit="1" customWidth="1"/>
    <col min="6" max="6" width="12.33203125" bestFit="1" customWidth="1"/>
    <col min="11" max="11" width="4" customWidth="1"/>
    <col min="12" max="13" width="4.109375" customWidth="1"/>
  </cols>
  <sheetData>
    <row r="1" spans="1:10" x14ac:dyDescent="0.3">
      <c r="A1" s="2" t="s">
        <v>119</v>
      </c>
    </row>
    <row r="2" spans="1:10" ht="25.8" x14ac:dyDescent="0.5">
      <c r="A2" s="2"/>
      <c r="D2" s="194" t="s">
        <v>518</v>
      </c>
      <c r="H2" s="20" t="s">
        <v>625</v>
      </c>
      <c r="I2" s="33"/>
      <c r="J2" s="34"/>
    </row>
    <row r="3" spans="1:10" x14ac:dyDescent="0.3">
      <c r="A3" s="2"/>
      <c r="D3" s="181" t="s">
        <v>623</v>
      </c>
    </row>
    <row r="4" spans="1:10" x14ac:dyDescent="0.3">
      <c r="A4" s="2"/>
    </row>
    <row r="5" spans="1:10" ht="18" x14ac:dyDescent="0.35">
      <c r="A5" s="2"/>
      <c r="F5" s="195" t="s">
        <v>708</v>
      </c>
    </row>
    <row r="6" spans="1:10" x14ac:dyDescent="0.3">
      <c r="A6" s="2"/>
    </row>
    <row r="7" spans="1:10" x14ac:dyDescent="0.3">
      <c r="C7" s="32" t="s">
        <v>508</v>
      </c>
      <c r="D7" s="128"/>
      <c r="E7" s="32" t="s">
        <v>565</v>
      </c>
      <c r="F7" s="148"/>
      <c r="G7" s="34"/>
      <c r="H7" t="s">
        <v>620</v>
      </c>
      <c r="J7" s="3"/>
    </row>
    <row r="8" spans="1:10" x14ac:dyDescent="0.3">
      <c r="C8" s="32" t="s">
        <v>114</v>
      </c>
      <c r="D8" s="129" t="s">
        <v>524</v>
      </c>
    </row>
    <row r="9" spans="1:10" x14ac:dyDescent="0.3">
      <c r="C9" s="32" t="s">
        <v>92</v>
      </c>
      <c r="D9" s="35"/>
      <c r="E9" s="130"/>
      <c r="F9" s="36"/>
      <c r="G9" s="131"/>
    </row>
    <row r="10" spans="1:10" x14ac:dyDescent="0.3">
      <c r="C10" s="32" t="s">
        <v>528</v>
      </c>
      <c r="D10" s="14"/>
      <c r="E10" s="37"/>
      <c r="G10" s="14" t="s">
        <v>529</v>
      </c>
    </row>
    <row r="11" spans="1:10" x14ac:dyDescent="0.3">
      <c r="C11" s="32"/>
      <c r="D11" s="179" t="s">
        <v>170</v>
      </c>
      <c r="E11" s="180"/>
      <c r="F11" s="14"/>
      <c r="G11" s="169" t="s">
        <v>170</v>
      </c>
      <c r="H11" s="170"/>
      <c r="I11" s="171"/>
      <c r="J11" s="172"/>
    </row>
    <row r="12" spans="1:10" x14ac:dyDescent="0.3">
      <c r="C12" s="32"/>
      <c r="D12" s="120"/>
      <c r="E12" s="166"/>
      <c r="F12" s="14"/>
      <c r="G12" s="167"/>
      <c r="H12" s="168"/>
      <c r="I12" s="44"/>
      <c r="J12" s="45"/>
    </row>
    <row r="13" spans="1:10" x14ac:dyDescent="0.3">
      <c r="C13" s="32"/>
      <c r="D13" s="174" t="s">
        <v>169</v>
      </c>
      <c r="E13" s="173"/>
      <c r="F13" s="14"/>
      <c r="G13" s="169" t="s">
        <v>169</v>
      </c>
      <c r="H13" s="170"/>
      <c r="I13" s="171"/>
      <c r="J13" s="172"/>
    </row>
    <row r="14" spans="1:10" ht="49.2" customHeight="1" x14ac:dyDescent="0.3">
      <c r="C14" s="32"/>
      <c r="D14" s="150"/>
      <c r="E14" s="165"/>
      <c r="F14" s="14"/>
      <c r="G14" s="167"/>
      <c r="H14" s="168"/>
      <c r="I14" s="44"/>
      <c r="J14" s="45"/>
    </row>
    <row r="15" spans="1:10" x14ac:dyDescent="0.3">
      <c r="C15" s="182" t="s">
        <v>442</v>
      </c>
      <c r="D15" s="128"/>
      <c r="F15" s="32" t="s">
        <v>115</v>
      </c>
      <c r="G15" s="164"/>
      <c r="H15" s="177"/>
      <c r="I15" s="177"/>
      <c r="J15" s="178"/>
    </row>
    <row r="16" spans="1:10" x14ac:dyDescent="0.3">
      <c r="C16" s="182" t="s">
        <v>452</v>
      </c>
      <c r="D16" s="128"/>
      <c r="F16" s="32" t="s">
        <v>94</v>
      </c>
      <c r="G16" s="35"/>
      <c r="H16" s="36"/>
      <c r="I16" s="36"/>
      <c r="J16" s="131"/>
    </row>
    <row r="17" spans="3:16" x14ac:dyDescent="0.3">
      <c r="C17" s="182" t="s">
        <v>453</v>
      </c>
      <c r="D17" s="128"/>
      <c r="F17" s="32" t="s">
        <v>96</v>
      </c>
      <c r="G17" s="175"/>
      <c r="H17" s="176"/>
      <c r="I17" s="208"/>
      <c r="J17" s="80"/>
    </row>
    <row r="18" spans="3:16" x14ac:dyDescent="0.3">
      <c r="C18" s="182" t="s">
        <v>458</v>
      </c>
      <c r="D18" s="128"/>
    </row>
    <row r="19" spans="3:16" x14ac:dyDescent="0.3">
      <c r="C19" s="182" t="s">
        <v>661</v>
      </c>
      <c r="D19" s="128"/>
      <c r="F19" s="182" t="s">
        <v>662</v>
      </c>
      <c r="G19" s="35"/>
      <c r="H19" s="131"/>
    </row>
    <row r="20" spans="3:16" x14ac:dyDescent="0.3">
      <c r="C20" s="162" t="s">
        <v>543</v>
      </c>
      <c r="D20" s="128"/>
      <c r="F20" s="32" t="s">
        <v>533</v>
      </c>
      <c r="G20" s="175"/>
      <c r="H20" s="176"/>
    </row>
    <row r="21" spans="3:16" x14ac:dyDescent="0.3">
      <c r="C21" s="32" t="s">
        <v>532</v>
      </c>
      <c r="D21" s="128"/>
      <c r="E21" s="14"/>
      <c r="F21" s="32" t="s">
        <v>534</v>
      </c>
      <c r="G21" s="35"/>
      <c r="H21" s="131"/>
    </row>
    <row r="22" spans="3:16" x14ac:dyDescent="0.3">
      <c r="C22" s="49" t="s">
        <v>709</v>
      </c>
      <c r="D22" s="3"/>
      <c r="F22" s="132" t="s">
        <v>621</v>
      </c>
      <c r="G22" s="20"/>
      <c r="H22" s="34"/>
    </row>
    <row r="23" spans="3:16" x14ac:dyDescent="0.3">
      <c r="C23" s="49" t="s">
        <v>531</v>
      </c>
      <c r="D23" s="3"/>
      <c r="F23" s="193" t="s">
        <v>622</v>
      </c>
      <c r="G23" s="20"/>
      <c r="H23" s="34"/>
    </row>
    <row r="24" spans="3:16" x14ac:dyDescent="0.3">
      <c r="C24" s="37" t="s">
        <v>626</v>
      </c>
    </row>
    <row r="25" spans="3:16" x14ac:dyDescent="0.3">
      <c r="K25" s="360" t="s">
        <v>551</v>
      </c>
      <c r="L25" s="360"/>
      <c r="M25" s="360"/>
    </row>
    <row r="26" spans="3:16" ht="57.6" x14ac:dyDescent="0.3">
      <c r="D26" s="185" t="s">
        <v>544</v>
      </c>
      <c r="E26" s="185" t="s">
        <v>545</v>
      </c>
      <c r="F26" s="185" t="s">
        <v>546</v>
      </c>
      <c r="G26" s="185" t="s">
        <v>547</v>
      </c>
      <c r="H26" s="185" t="s">
        <v>548</v>
      </c>
      <c r="I26" s="186" t="s">
        <v>558</v>
      </c>
      <c r="J26" s="186" t="s">
        <v>559</v>
      </c>
      <c r="K26" s="185" t="s">
        <v>552</v>
      </c>
      <c r="L26" s="185" t="s">
        <v>553</v>
      </c>
      <c r="M26" s="185" t="s">
        <v>554</v>
      </c>
      <c r="N26" s="186" t="s">
        <v>560</v>
      </c>
      <c r="O26" s="186" t="s">
        <v>710</v>
      </c>
      <c r="P26" s="185" t="s">
        <v>556</v>
      </c>
    </row>
    <row r="27" spans="3:16" x14ac:dyDescent="0.3">
      <c r="D27" s="3"/>
      <c r="E27" s="13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3:16" x14ac:dyDescent="0.3">
      <c r="D28" s="3"/>
      <c r="E28" s="13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3:16" x14ac:dyDescent="0.3">
      <c r="D29" s="3"/>
      <c r="E29" s="13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3:16" x14ac:dyDescent="0.3">
      <c r="D30" s="3"/>
      <c r="E30" s="13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3:16" x14ac:dyDescent="0.3">
      <c r="D31" s="3"/>
      <c r="E31" s="13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3:16" x14ac:dyDescent="0.3">
      <c r="F32" s="143" t="s">
        <v>561</v>
      </c>
      <c r="G32" s="187"/>
      <c r="H32" s="187"/>
      <c r="I32" s="187"/>
      <c r="J32" s="187"/>
      <c r="O32" s="209"/>
    </row>
    <row r="34" spans="4:16" x14ac:dyDescent="0.3">
      <c r="P34" s="188"/>
    </row>
    <row r="36" spans="4:16" x14ac:dyDescent="0.3">
      <c r="D36" s="196" t="s">
        <v>627</v>
      </c>
    </row>
  </sheetData>
  <mergeCells count="1">
    <mergeCell ref="K25:M25"/>
  </mergeCells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8961" r:id="rId3" name="Drop Down 1">
              <controlPr defaultSize="0" autoLine="0" autoPict="0">
                <anchor moveWithCells="1">
                  <from>
                    <xdr:col>3</xdr:col>
                    <xdr:colOff>7620</xdr:colOff>
                    <xdr:row>23</xdr:row>
                    <xdr:rowOff>15240</xdr:rowOff>
                  </from>
                  <to>
                    <xdr:col>4</xdr:col>
                    <xdr:colOff>15240</xdr:colOff>
                    <xdr:row>24</xdr:row>
                    <xdr:rowOff>45720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6"/>
  <sheetViews>
    <sheetView showGridLines="0" workbookViewId="0"/>
  </sheetViews>
  <sheetFormatPr defaultRowHeight="14.4" x14ac:dyDescent="0.3"/>
  <cols>
    <col min="2" max="2" width="12.5546875" bestFit="1" customWidth="1"/>
    <col min="3" max="3" width="14.21875" customWidth="1"/>
    <col min="4" max="4" width="8.88671875" bestFit="1" customWidth="1"/>
    <col min="5" max="5" width="8.88671875" customWidth="1"/>
    <col min="6" max="6" width="10.44140625" style="32" bestFit="1" customWidth="1"/>
    <col min="7" max="7" width="12.33203125" bestFit="1" customWidth="1"/>
    <col min="8" max="8" width="9.77734375" bestFit="1" customWidth="1"/>
    <col min="9" max="9" width="9" bestFit="1" customWidth="1"/>
    <col min="10" max="10" width="17.33203125" bestFit="1" customWidth="1"/>
    <col min="11" max="11" width="10.88671875" bestFit="1" customWidth="1"/>
    <col min="12" max="12" width="10.88671875" customWidth="1"/>
    <col min="13" max="13" width="6.6640625" bestFit="1" customWidth="1"/>
    <col min="14" max="14" width="4.21875" bestFit="1" customWidth="1"/>
    <col min="15" max="15" width="4.109375" bestFit="1" customWidth="1"/>
    <col min="16" max="16" width="7.109375" customWidth="1"/>
    <col min="17" max="17" width="11.109375" customWidth="1"/>
    <col min="18" max="18" width="7.77734375" customWidth="1"/>
  </cols>
  <sheetData>
    <row r="1" spans="1:18" x14ac:dyDescent="0.3">
      <c r="A1" s="2" t="s">
        <v>119</v>
      </c>
    </row>
    <row r="2" spans="1:18" x14ac:dyDescent="0.3">
      <c r="I2" s="21"/>
      <c r="J2" s="21"/>
      <c r="K2" s="21"/>
      <c r="L2" s="21"/>
      <c r="M2" s="21"/>
      <c r="N2" s="21"/>
      <c r="O2" s="21"/>
      <c r="P2" s="21"/>
      <c r="Q2" s="21"/>
    </row>
    <row r="3" spans="1:18" x14ac:dyDescent="0.3">
      <c r="B3" s="41"/>
      <c r="C3" s="41"/>
      <c r="D3" s="41"/>
      <c r="E3" s="41"/>
      <c r="F3" s="41"/>
      <c r="G3" s="41"/>
      <c r="H3" s="41"/>
      <c r="I3" s="41"/>
      <c r="J3" s="41" t="s">
        <v>628</v>
      </c>
      <c r="K3" s="41"/>
      <c r="L3" s="41"/>
      <c r="M3" s="41"/>
      <c r="N3" s="41"/>
      <c r="O3" s="41"/>
      <c r="P3" s="41"/>
      <c r="Q3" s="41"/>
      <c r="R3" s="42"/>
    </row>
    <row r="4" spans="1:18" x14ac:dyDescent="0.3">
      <c r="F4"/>
    </row>
    <row r="5" spans="1:18" x14ac:dyDescent="0.3">
      <c r="C5" t="s">
        <v>630</v>
      </c>
      <c r="F5"/>
      <c r="G5" s="32"/>
    </row>
    <row r="6" spans="1:18" x14ac:dyDescent="0.3">
      <c r="F6"/>
      <c r="Q6" s="3" t="s">
        <v>55</v>
      </c>
      <c r="R6" s="20"/>
    </row>
    <row r="7" spans="1:18" x14ac:dyDescent="0.3">
      <c r="B7" s="6" t="s">
        <v>565</v>
      </c>
      <c r="C7" s="6" t="s">
        <v>629</v>
      </c>
      <c r="D7" s="6" t="s">
        <v>92</v>
      </c>
      <c r="E7" s="6" t="s">
        <v>634</v>
      </c>
      <c r="F7" s="6" t="s">
        <v>115</v>
      </c>
      <c r="G7" s="6" t="s">
        <v>114</v>
      </c>
      <c r="H7" s="6" t="s">
        <v>398</v>
      </c>
      <c r="I7" s="6" t="s">
        <v>399</v>
      </c>
      <c r="J7" s="6" t="s">
        <v>116</v>
      </c>
      <c r="K7" s="6" t="s">
        <v>566</v>
      </c>
      <c r="L7" s="6" t="s">
        <v>36</v>
      </c>
      <c r="M7" s="6" t="s">
        <v>631</v>
      </c>
      <c r="N7" s="140" t="s">
        <v>487</v>
      </c>
      <c r="O7" s="140" t="s">
        <v>488</v>
      </c>
      <c r="P7" s="6" t="s">
        <v>111</v>
      </c>
      <c r="Q7" s="357" t="s">
        <v>118</v>
      </c>
      <c r="R7" s="358"/>
    </row>
    <row r="8" spans="1:18" x14ac:dyDescent="0.3">
      <c r="B8" s="3"/>
      <c r="C8" s="3"/>
      <c r="D8" s="3"/>
      <c r="E8" s="3"/>
      <c r="F8" s="3"/>
      <c r="G8" s="3" t="s">
        <v>371</v>
      </c>
      <c r="H8" s="3" t="s">
        <v>372</v>
      </c>
      <c r="I8" s="3" t="s">
        <v>373</v>
      </c>
      <c r="J8" s="3" t="s">
        <v>393</v>
      </c>
      <c r="K8" s="3"/>
      <c r="L8" s="3"/>
      <c r="M8" s="3"/>
      <c r="N8" s="3"/>
      <c r="O8" s="3"/>
      <c r="P8" s="3"/>
      <c r="Q8" s="2" t="s">
        <v>632</v>
      </c>
      <c r="R8" s="2" t="s">
        <v>633</v>
      </c>
    </row>
    <row r="9" spans="1:18" x14ac:dyDescent="0.3">
      <c r="B9" s="3"/>
      <c r="C9" s="3"/>
      <c r="D9" s="3"/>
      <c r="E9" s="3"/>
      <c r="F9" s="3"/>
      <c r="G9" s="3" t="s">
        <v>371</v>
      </c>
      <c r="H9" s="3" t="s">
        <v>372</v>
      </c>
      <c r="I9" s="3" t="s">
        <v>373</v>
      </c>
      <c r="J9" s="3" t="s">
        <v>394</v>
      </c>
      <c r="K9" s="3"/>
      <c r="L9" s="3"/>
      <c r="M9" s="3"/>
      <c r="N9" s="3"/>
      <c r="O9" s="3"/>
      <c r="P9" s="3"/>
      <c r="Q9" t="s">
        <v>632</v>
      </c>
      <c r="R9" s="80" t="s">
        <v>434</v>
      </c>
    </row>
    <row r="10" spans="1:18" x14ac:dyDescent="0.3">
      <c r="B10" s="3"/>
      <c r="C10" s="3"/>
      <c r="D10" s="3"/>
      <c r="E10" s="3"/>
      <c r="F10" s="3"/>
      <c r="G10" s="3" t="s">
        <v>98</v>
      </c>
      <c r="H10" s="3" t="s">
        <v>374</v>
      </c>
      <c r="I10" s="3" t="s">
        <v>375</v>
      </c>
      <c r="J10" s="3" t="s">
        <v>392</v>
      </c>
      <c r="K10" s="3"/>
      <c r="L10" s="3"/>
      <c r="M10" s="3"/>
      <c r="N10" s="3"/>
      <c r="O10" s="3"/>
      <c r="P10" s="3"/>
      <c r="Q10" t="s">
        <v>632</v>
      </c>
      <c r="R10" s="80" t="s">
        <v>434</v>
      </c>
    </row>
    <row r="11" spans="1:18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t="s">
        <v>632</v>
      </c>
      <c r="R11" s="80" t="s">
        <v>434</v>
      </c>
    </row>
    <row r="13" spans="1:18" x14ac:dyDescent="0.3">
      <c r="Q13" s="2"/>
    </row>
    <row r="14" spans="1:18" x14ac:dyDescent="0.3">
      <c r="B14" s="7" t="s">
        <v>643</v>
      </c>
      <c r="C14" s="7" t="s">
        <v>644</v>
      </c>
      <c r="D14" s="7" t="s">
        <v>645</v>
      </c>
      <c r="O14" s="32"/>
    </row>
    <row r="15" spans="1:18" x14ac:dyDescent="0.3">
      <c r="B15" s="72"/>
      <c r="D15" s="72"/>
      <c r="O15" s="32"/>
    </row>
    <row r="16" spans="1:18" x14ac:dyDescent="0.3">
      <c r="C16" s="32"/>
      <c r="F16"/>
      <c r="I16" s="360" t="s">
        <v>551</v>
      </c>
      <c r="J16" s="360"/>
      <c r="K16" s="360"/>
      <c r="O16" s="32"/>
    </row>
    <row r="17" spans="2:13" ht="28.8" x14ac:dyDescent="0.3">
      <c r="B17" s="185" t="s">
        <v>544</v>
      </c>
      <c r="C17" s="185" t="s">
        <v>545</v>
      </c>
      <c r="D17" s="185" t="s">
        <v>546</v>
      </c>
      <c r="E17" s="185" t="s">
        <v>547</v>
      </c>
      <c r="F17" s="185" t="s">
        <v>548</v>
      </c>
      <c r="G17" s="186" t="s">
        <v>558</v>
      </c>
      <c r="H17" s="186" t="s">
        <v>559</v>
      </c>
      <c r="I17" s="185" t="s">
        <v>552</v>
      </c>
      <c r="J17" s="185" t="s">
        <v>553</v>
      </c>
      <c r="K17" s="185" t="s">
        <v>554</v>
      </c>
      <c r="L17" s="186" t="s">
        <v>560</v>
      </c>
      <c r="M17" s="185" t="s">
        <v>118</v>
      </c>
    </row>
    <row r="18" spans="2:13" x14ac:dyDescent="0.3">
      <c r="B18" s="80"/>
      <c r="C18" s="135"/>
      <c r="D18" s="80"/>
      <c r="E18" s="198"/>
      <c r="F18" s="198"/>
      <c r="G18" s="198"/>
      <c r="H18" s="198"/>
      <c r="I18" s="198"/>
      <c r="J18" s="198"/>
      <c r="K18" s="198"/>
      <c r="L18" s="198"/>
      <c r="M18" s="3" t="s">
        <v>641</v>
      </c>
    </row>
    <row r="19" spans="2:13" x14ac:dyDescent="0.3">
      <c r="B19" s="3"/>
      <c r="C19" s="3"/>
      <c r="D19" s="3"/>
      <c r="E19" s="198"/>
      <c r="F19" s="199"/>
      <c r="G19" s="198"/>
      <c r="H19" s="198"/>
      <c r="I19" s="198"/>
      <c r="J19" s="198"/>
      <c r="K19" s="198"/>
      <c r="L19" s="198"/>
      <c r="M19" s="3" t="s">
        <v>642</v>
      </c>
    </row>
    <row r="20" spans="2:13" x14ac:dyDescent="0.3">
      <c r="B20" s="3"/>
      <c r="C20" s="3"/>
      <c r="D20" s="3"/>
      <c r="E20" s="198"/>
      <c r="F20" s="199"/>
      <c r="G20" s="198"/>
      <c r="H20" s="198"/>
      <c r="I20" s="198"/>
      <c r="J20" s="198"/>
      <c r="K20" s="198"/>
      <c r="L20" s="198"/>
      <c r="M20" s="3" t="s">
        <v>633</v>
      </c>
    </row>
    <row r="21" spans="2:13" x14ac:dyDescent="0.3">
      <c r="B21" s="3"/>
      <c r="C21" s="3"/>
      <c r="D21" s="3"/>
      <c r="E21" s="198"/>
      <c r="F21" s="199"/>
      <c r="G21" s="198"/>
      <c r="H21" s="198"/>
      <c r="I21" s="198"/>
      <c r="J21" s="198"/>
      <c r="K21" s="198"/>
      <c r="L21" s="198"/>
      <c r="M21" s="3" t="s">
        <v>633</v>
      </c>
    </row>
    <row r="24" spans="2:13" x14ac:dyDescent="0.3">
      <c r="B24" t="s">
        <v>636</v>
      </c>
      <c r="H24" t="s">
        <v>635</v>
      </c>
    </row>
    <row r="25" spans="2:13" x14ac:dyDescent="0.3">
      <c r="B25" t="s">
        <v>637</v>
      </c>
      <c r="H25" t="s">
        <v>646</v>
      </c>
    </row>
    <row r="26" spans="2:13" x14ac:dyDescent="0.3">
      <c r="H26" t="s">
        <v>647</v>
      </c>
    </row>
  </sheetData>
  <mergeCells count="2">
    <mergeCell ref="Q7:R7"/>
    <mergeCell ref="I16:K16"/>
  </mergeCells>
  <hyperlinks>
    <hyperlink ref="A1" location="Menu!A1" display="Menu"/>
    <hyperlink ref="Q8" location="'Shipping Order'!A1" display="View S/O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61" r:id="rId3" name="Drop Down 1">
              <controlPr defaultSize="0" autoLine="0" autoPict="0">
                <anchor moveWithCells="1">
                  <from>
                    <xdr:col>2</xdr:col>
                    <xdr:colOff>45720</xdr:colOff>
                    <xdr:row>14</xdr:row>
                    <xdr:rowOff>22860</xdr:rowOff>
                  </from>
                  <to>
                    <xdr:col>2</xdr:col>
                    <xdr:colOff>960120</xdr:colOff>
                    <xdr:row>15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showGridLines="0" workbookViewId="0"/>
  </sheetViews>
  <sheetFormatPr defaultRowHeight="14.4" x14ac:dyDescent="0.3"/>
  <cols>
    <col min="2" max="2" width="9" bestFit="1" customWidth="1"/>
    <col min="3" max="3" width="10.44140625" bestFit="1" customWidth="1"/>
    <col min="7" max="7" width="10.44140625" bestFit="1" customWidth="1"/>
    <col min="8" max="8" width="12.5546875" bestFit="1" customWidth="1"/>
    <col min="9" max="9" width="16" customWidth="1"/>
    <col min="10" max="10" width="7.109375" bestFit="1" customWidth="1"/>
    <col min="11" max="11" width="10.77734375" customWidth="1"/>
    <col min="12" max="12" width="8.88671875" customWidth="1"/>
    <col min="13" max="13" width="10.44140625" style="32" bestFit="1" customWidth="1"/>
    <col min="14" max="14" width="12.33203125" bestFit="1" customWidth="1"/>
    <col min="15" max="15" width="1.88671875" bestFit="1" customWidth="1"/>
    <col min="16" max="16" width="2.77734375" bestFit="1" customWidth="1"/>
    <col min="17" max="17" width="2.21875" bestFit="1" customWidth="1"/>
    <col min="18" max="18" width="10.88671875" bestFit="1" customWidth="1"/>
    <col min="19" max="19" width="10.88671875" customWidth="1"/>
    <col min="20" max="20" width="7.77734375" customWidth="1"/>
  </cols>
  <sheetData>
    <row r="1" spans="1:21" x14ac:dyDescent="0.3">
      <c r="A1" s="2" t="s">
        <v>119</v>
      </c>
      <c r="B1" s="2"/>
      <c r="C1" s="2"/>
      <c r="D1" s="2"/>
      <c r="E1" s="2"/>
      <c r="F1" s="2"/>
      <c r="G1" s="2"/>
    </row>
    <row r="2" spans="1:21" x14ac:dyDescent="0.3">
      <c r="P2" s="21"/>
      <c r="Q2" s="21"/>
      <c r="R2" s="21"/>
      <c r="S2" s="21"/>
    </row>
    <row r="3" spans="1:21" x14ac:dyDescent="0.3">
      <c r="B3" s="245" t="s">
        <v>847</v>
      </c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6"/>
    </row>
    <row r="4" spans="1:21" x14ac:dyDescent="0.3">
      <c r="H4" s="14"/>
      <c r="I4" s="14"/>
      <c r="J4" s="14"/>
      <c r="K4" s="14"/>
      <c r="L4" s="14"/>
      <c r="M4" s="14"/>
      <c r="N4" s="14"/>
    </row>
    <row r="5" spans="1:21" ht="28.8" x14ac:dyDescent="0.3">
      <c r="B5" s="3" t="s">
        <v>848</v>
      </c>
      <c r="C5" s="252" t="s">
        <v>580</v>
      </c>
      <c r="D5" s="6" t="s">
        <v>92</v>
      </c>
      <c r="E5" s="6" t="s">
        <v>634</v>
      </c>
      <c r="F5" s="6" t="s">
        <v>529</v>
      </c>
      <c r="G5" s="6" t="s">
        <v>115</v>
      </c>
      <c r="H5" s="185" t="s">
        <v>544</v>
      </c>
      <c r="I5" s="185" t="s">
        <v>545</v>
      </c>
      <c r="J5" s="185" t="s">
        <v>546</v>
      </c>
      <c r="K5" s="185" t="s">
        <v>547</v>
      </c>
      <c r="L5" s="185" t="s">
        <v>548</v>
      </c>
      <c r="M5" s="186" t="s">
        <v>558</v>
      </c>
      <c r="N5" s="186" t="s">
        <v>559</v>
      </c>
      <c r="O5" s="185" t="s">
        <v>552</v>
      </c>
      <c r="P5" s="185" t="s">
        <v>553</v>
      </c>
      <c r="Q5" s="185" t="s">
        <v>554</v>
      </c>
      <c r="R5" s="186" t="s">
        <v>560</v>
      </c>
      <c r="S5" s="185" t="s">
        <v>836</v>
      </c>
      <c r="T5" s="185" t="s">
        <v>645</v>
      </c>
      <c r="U5" s="185" t="s">
        <v>849</v>
      </c>
    </row>
    <row r="6" spans="1:21" ht="7.8" customHeight="1" x14ac:dyDescent="0.3">
      <c r="B6" s="247"/>
      <c r="C6" s="247"/>
      <c r="D6" s="247"/>
      <c r="E6" s="247"/>
      <c r="F6" s="247"/>
      <c r="G6" s="247"/>
      <c r="H6" s="248"/>
      <c r="I6" s="248"/>
      <c r="J6" s="248"/>
      <c r="K6" s="248"/>
      <c r="L6" s="248"/>
      <c r="M6" s="249"/>
      <c r="N6" s="249"/>
      <c r="O6" s="248"/>
      <c r="P6" s="248"/>
      <c r="Q6" s="248"/>
      <c r="R6" s="249"/>
      <c r="S6" s="248"/>
      <c r="T6" s="248"/>
      <c r="U6" s="248"/>
    </row>
    <row r="7" spans="1:21" x14ac:dyDescent="0.3">
      <c r="B7" s="359" t="s">
        <v>850</v>
      </c>
      <c r="C7" s="359" t="s">
        <v>851</v>
      </c>
      <c r="D7" s="359" t="s">
        <v>852</v>
      </c>
      <c r="E7" s="359" t="s">
        <v>369</v>
      </c>
      <c r="F7" s="361" t="s">
        <v>858</v>
      </c>
      <c r="G7" s="359" t="s">
        <v>345</v>
      </c>
      <c r="H7" s="250" t="s">
        <v>750</v>
      </c>
      <c r="I7" s="251" t="s">
        <v>754</v>
      </c>
      <c r="J7" s="250"/>
      <c r="K7" s="250">
        <v>500</v>
      </c>
      <c r="L7" s="250">
        <v>2000</v>
      </c>
      <c r="M7" s="250">
        <v>5000</v>
      </c>
      <c r="N7" s="250">
        <v>5500</v>
      </c>
      <c r="O7" s="250"/>
      <c r="P7" s="250"/>
      <c r="Q7" s="250"/>
      <c r="R7" s="250">
        <v>15</v>
      </c>
      <c r="S7" s="352"/>
      <c r="T7" s="352"/>
      <c r="U7" s="352"/>
    </row>
    <row r="8" spans="1:21" x14ac:dyDescent="0.3">
      <c r="B8" s="359"/>
      <c r="C8" s="359"/>
      <c r="D8" s="359"/>
      <c r="E8" s="359"/>
      <c r="F8" s="362"/>
      <c r="G8" s="359"/>
      <c r="H8" s="250" t="s">
        <v>751</v>
      </c>
      <c r="I8" s="250" t="s">
        <v>755</v>
      </c>
      <c r="J8" s="250"/>
      <c r="K8" s="250">
        <v>200</v>
      </c>
      <c r="L8" s="251">
        <v>3000</v>
      </c>
      <c r="M8" s="250">
        <v>3500</v>
      </c>
      <c r="N8" s="250">
        <v>3700</v>
      </c>
      <c r="O8" s="250"/>
      <c r="P8" s="250"/>
      <c r="Q8" s="250"/>
      <c r="R8" s="250">
        <v>5</v>
      </c>
      <c r="S8" s="352"/>
      <c r="T8" s="352"/>
      <c r="U8" s="352"/>
    </row>
    <row r="9" spans="1:21" x14ac:dyDescent="0.3">
      <c r="B9" s="359"/>
      <c r="C9" s="359"/>
      <c r="D9" s="359"/>
      <c r="E9" s="359"/>
      <c r="F9" s="363"/>
      <c r="G9" s="359"/>
      <c r="H9" s="250" t="s">
        <v>752</v>
      </c>
      <c r="I9" s="250" t="s">
        <v>756</v>
      </c>
      <c r="J9" s="250"/>
      <c r="K9" s="250">
        <v>80</v>
      </c>
      <c r="L9" s="250">
        <v>6000</v>
      </c>
      <c r="M9" s="250">
        <v>2800</v>
      </c>
      <c r="N9" s="250">
        <v>2900</v>
      </c>
      <c r="O9" s="250"/>
      <c r="P9" s="250"/>
      <c r="Q9" s="250"/>
      <c r="R9" s="250">
        <v>8</v>
      </c>
      <c r="S9" s="352"/>
      <c r="T9" s="352"/>
      <c r="U9" s="352"/>
    </row>
    <row r="10" spans="1:21" x14ac:dyDescent="0.3">
      <c r="B10" s="21"/>
      <c r="C10" s="21"/>
      <c r="D10" s="21"/>
      <c r="E10" s="21"/>
      <c r="F10" s="21"/>
      <c r="G10" s="21"/>
      <c r="H10" s="42" t="s">
        <v>796</v>
      </c>
      <c r="I10" s="68"/>
      <c r="J10" s="68"/>
      <c r="K10" s="68">
        <f>SUM(K7:K9)</f>
        <v>780</v>
      </c>
      <c r="L10" s="68">
        <f>SUM(L7:L9)</f>
        <v>11000</v>
      </c>
      <c r="M10" s="68">
        <f t="shared" ref="M10:N10" si="0">SUM(M7:M9)</f>
        <v>11300</v>
      </c>
      <c r="N10" s="68">
        <f t="shared" si="0"/>
        <v>12100</v>
      </c>
      <c r="O10" s="68"/>
      <c r="P10" s="68"/>
      <c r="Q10" s="68"/>
      <c r="R10" s="68">
        <f>SUM(R7:R9)</f>
        <v>28</v>
      </c>
    </row>
    <row r="11" spans="1:21" x14ac:dyDescent="0.3">
      <c r="M11"/>
    </row>
    <row r="12" spans="1:21" x14ac:dyDescent="0.3">
      <c r="B12" s="234" t="s">
        <v>853</v>
      </c>
      <c r="C12" s="234" t="s">
        <v>854</v>
      </c>
      <c r="D12" s="234" t="s">
        <v>855</v>
      </c>
      <c r="E12" s="234" t="s">
        <v>856</v>
      </c>
      <c r="F12" s="234" t="s">
        <v>859</v>
      </c>
      <c r="G12" s="234" t="s">
        <v>857</v>
      </c>
      <c r="H12" s="250" t="s">
        <v>750</v>
      </c>
      <c r="I12" s="251" t="s">
        <v>857</v>
      </c>
      <c r="J12" s="250"/>
      <c r="K12" s="250">
        <v>5</v>
      </c>
      <c r="L12" s="250">
        <v>5</v>
      </c>
      <c r="M12" s="250">
        <v>2000</v>
      </c>
      <c r="N12" s="250">
        <v>2500</v>
      </c>
      <c r="O12" s="250"/>
      <c r="P12" s="250"/>
      <c r="Q12" s="250"/>
      <c r="R12" s="250">
        <v>50</v>
      </c>
      <c r="S12" s="231"/>
      <c r="T12" s="231"/>
      <c r="U12" s="231"/>
    </row>
    <row r="13" spans="1:21" x14ac:dyDescent="0.3">
      <c r="I13" s="37"/>
      <c r="J13" s="37"/>
      <c r="K13" s="14"/>
      <c r="L13" s="14"/>
      <c r="M13" s="37"/>
      <c r="N13" s="60"/>
    </row>
    <row r="14" spans="1:21" x14ac:dyDescent="0.3">
      <c r="K14" s="14"/>
      <c r="L14" s="14"/>
      <c r="M14" s="37"/>
      <c r="N14" s="60"/>
    </row>
    <row r="15" spans="1:21" x14ac:dyDescent="0.3">
      <c r="K15" s="14"/>
      <c r="L15" s="14"/>
      <c r="M15" s="14"/>
      <c r="N15" s="60"/>
    </row>
    <row r="16" spans="1:21" x14ac:dyDescent="0.3">
      <c r="K16" s="14"/>
      <c r="L16" s="14"/>
      <c r="M16" s="37"/>
      <c r="N16" s="60"/>
    </row>
  </sheetData>
  <mergeCells count="9">
    <mergeCell ref="U7:U9"/>
    <mergeCell ref="B7:B9"/>
    <mergeCell ref="C7:C9"/>
    <mergeCell ref="D7:D9"/>
    <mergeCell ref="E7:E9"/>
    <mergeCell ref="G7:G9"/>
    <mergeCell ref="F7:F9"/>
    <mergeCell ref="S7:S9"/>
    <mergeCell ref="T7:T9"/>
  </mergeCells>
  <hyperlinks>
    <hyperlink ref="A1" location="Menu!A1" display="Menu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67"/>
  <sheetViews>
    <sheetView showGridLines="0" zoomScale="115" zoomScaleNormal="115" workbookViewId="0"/>
  </sheetViews>
  <sheetFormatPr defaultRowHeight="14.4" x14ac:dyDescent="0.3"/>
  <cols>
    <col min="2" max="2" width="12.5546875" bestFit="1" customWidth="1"/>
    <col min="3" max="3" width="14.21875" customWidth="1"/>
    <col min="4" max="4" width="10.77734375" customWidth="1"/>
    <col min="5" max="5" width="8.88671875" customWidth="1"/>
    <col min="6" max="6" width="10.44140625" style="32" bestFit="1" customWidth="1"/>
    <col min="7" max="7" width="12.33203125" bestFit="1" customWidth="1"/>
    <col min="8" max="8" width="9.77734375" bestFit="1" customWidth="1"/>
    <col min="9" max="9" width="10.77734375" bestFit="1" customWidth="1"/>
    <col min="10" max="10" width="9" bestFit="1" customWidth="1"/>
    <col min="11" max="11" width="18.6640625" bestFit="1" customWidth="1"/>
    <col min="12" max="13" width="11" customWidth="1"/>
    <col min="14" max="14" width="10.88671875" bestFit="1" customWidth="1"/>
    <col min="15" max="15" width="10.88671875" customWidth="1"/>
    <col min="16" max="16" width="6.6640625" bestFit="1" customWidth="1"/>
    <col min="17" max="17" width="6.5546875" bestFit="1" customWidth="1"/>
    <col min="18" max="18" width="7.109375" customWidth="1"/>
    <col min="19" max="19" width="11.109375" customWidth="1"/>
    <col min="20" max="20" width="7.77734375" customWidth="1"/>
  </cols>
  <sheetData>
    <row r="1" spans="1:20" x14ac:dyDescent="0.3">
      <c r="A1" s="2" t="s">
        <v>119</v>
      </c>
    </row>
    <row r="2" spans="1:20" x14ac:dyDescent="0.3"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1:20" x14ac:dyDescent="0.3">
      <c r="B3" s="41"/>
      <c r="C3" s="41"/>
      <c r="D3" s="41"/>
      <c r="E3" s="41"/>
      <c r="F3" s="41"/>
      <c r="G3" s="41"/>
      <c r="H3" s="41"/>
      <c r="I3" s="41"/>
      <c r="J3" s="41"/>
      <c r="K3" s="41" t="s">
        <v>714</v>
      </c>
      <c r="L3" s="41"/>
      <c r="M3" s="41"/>
      <c r="N3" s="41"/>
      <c r="O3" s="41"/>
      <c r="P3" s="41"/>
      <c r="Q3" s="41"/>
      <c r="R3" s="41"/>
      <c r="S3" s="41"/>
      <c r="T3" s="42"/>
    </row>
    <row r="4" spans="1:20" x14ac:dyDescent="0.3">
      <c r="F4"/>
    </row>
    <row r="5" spans="1:20" x14ac:dyDescent="0.3">
      <c r="F5"/>
      <c r="S5" s="3" t="s">
        <v>55</v>
      </c>
      <c r="T5" s="20"/>
    </row>
    <row r="6" spans="1:20" x14ac:dyDescent="0.3">
      <c r="B6" s="6" t="s">
        <v>565</v>
      </c>
      <c r="C6" s="6" t="s">
        <v>629</v>
      </c>
      <c r="D6" s="6" t="s">
        <v>92</v>
      </c>
      <c r="E6" s="6" t="s">
        <v>634</v>
      </c>
      <c r="F6" s="6" t="s">
        <v>115</v>
      </c>
      <c r="G6" s="6" t="s">
        <v>114</v>
      </c>
      <c r="H6" s="6" t="s">
        <v>398</v>
      </c>
      <c r="I6" s="6"/>
      <c r="J6" s="6" t="s">
        <v>399</v>
      </c>
      <c r="K6" s="6" t="s">
        <v>116</v>
      </c>
      <c r="L6" s="6"/>
      <c r="M6" s="6"/>
      <c r="N6" s="6" t="s">
        <v>36</v>
      </c>
      <c r="O6" s="6" t="s">
        <v>631</v>
      </c>
      <c r="P6" s="140" t="s">
        <v>487</v>
      </c>
      <c r="Q6" s="140" t="s">
        <v>488</v>
      </c>
      <c r="R6" s="6" t="s">
        <v>111</v>
      </c>
      <c r="S6" s="357" t="s">
        <v>118</v>
      </c>
      <c r="T6" s="358"/>
    </row>
    <row r="7" spans="1:20" x14ac:dyDescent="0.3">
      <c r="B7" s="3" t="s">
        <v>776</v>
      </c>
      <c r="C7" s="3" t="s">
        <v>777</v>
      </c>
      <c r="D7" s="3" t="s">
        <v>778</v>
      </c>
      <c r="E7" s="3" t="s">
        <v>778</v>
      </c>
      <c r="F7" s="3" t="s">
        <v>779</v>
      </c>
      <c r="G7" s="3" t="s">
        <v>371</v>
      </c>
      <c r="H7" s="3" t="s">
        <v>372</v>
      </c>
      <c r="I7" s="3"/>
      <c r="J7" s="3" t="s">
        <v>373</v>
      </c>
      <c r="K7" s="3" t="s">
        <v>393</v>
      </c>
      <c r="L7" s="3"/>
      <c r="M7" s="3"/>
      <c r="N7" s="3" t="s">
        <v>780</v>
      </c>
      <c r="O7" s="118">
        <v>46276</v>
      </c>
      <c r="P7" s="118">
        <v>46277</v>
      </c>
      <c r="Q7" s="118">
        <v>46287</v>
      </c>
      <c r="R7" s="3"/>
      <c r="S7" s="2" t="s">
        <v>715</v>
      </c>
      <c r="T7" s="2"/>
    </row>
    <row r="8" spans="1:20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T8" s="80"/>
    </row>
    <row r="9" spans="1:20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T9" s="80"/>
    </row>
    <row r="10" spans="1:20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T10" s="80"/>
    </row>
    <row r="13" spans="1:20" x14ac:dyDescent="0.3">
      <c r="B13" t="s">
        <v>725</v>
      </c>
      <c r="E13" t="s">
        <v>37</v>
      </c>
      <c r="S13" s="2"/>
    </row>
    <row r="14" spans="1:20" x14ac:dyDescent="0.3">
      <c r="C14" s="32"/>
      <c r="F14"/>
      <c r="J14" s="360" t="s">
        <v>551</v>
      </c>
      <c r="K14" s="360"/>
      <c r="L14" s="360"/>
      <c r="M14" s="360"/>
      <c r="N14" s="360"/>
    </row>
    <row r="15" spans="1:20" ht="28.8" x14ac:dyDescent="0.3">
      <c r="B15" s="185" t="s">
        <v>544</v>
      </c>
      <c r="C15" s="185" t="s">
        <v>545</v>
      </c>
      <c r="D15" s="185" t="s">
        <v>546</v>
      </c>
      <c r="E15" s="185" t="s">
        <v>547</v>
      </c>
      <c r="F15" s="185" t="s">
        <v>548</v>
      </c>
      <c r="G15" s="186" t="s">
        <v>558</v>
      </c>
      <c r="H15" s="186" t="s">
        <v>559</v>
      </c>
      <c r="I15" s="186"/>
      <c r="J15" s="185" t="s">
        <v>552</v>
      </c>
      <c r="K15" s="185" t="s">
        <v>553</v>
      </c>
      <c r="L15" s="185"/>
      <c r="M15" s="185"/>
      <c r="N15" s="185" t="s">
        <v>554</v>
      </c>
      <c r="O15" s="186" t="s">
        <v>560</v>
      </c>
      <c r="P15" s="185" t="s">
        <v>556</v>
      </c>
      <c r="Q15" s="185" t="s">
        <v>118</v>
      </c>
    </row>
    <row r="16" spans="1:20" x14ac:dyDescent="0.3">
      <c r="B16" s="80" t="s">
        <v>750</v>
      </c>
      <c r="C16" s="135" t="s">
        <v>754</v>
      </c>
      <c r="D16" s="80"/>
      <c r="E16" s="198">
        <v>500</v>
      </c>
      <c r="F16" s="198">
        <v>2000</v>
      </c>
      <c r="G16" s="198">
        <v>5000</v>
      </c>
      <c r="H16" s="198">
        <v>5500</v>
      </c>
      <c r="I16" s="198"/>
      <c r="J16" s="198"/>
      <c r="K16" s="198"/>
      <c r="L16" s="198"/>
      <c r="M16" s="198"/>
      <c r="N16" s="198"/>
      <c r="O16" s="198">
        <v>15</v>
      </c>
      <c r="P16" s="198"/>
      <c r="Q16" s="3" t="s">
        <v>762</v>
      </c>
    </row>
    <row r="17" spans="2:21" x14ac:dyDescent="0.3">
      <c r="B17" s="3" t="s">
        <v>751</v>
      </c>
      <c r="C17" s="3" t="s">
        <v>755</v>
      </c>
      <c r="D17" s="3"/>
      <c r="E17" s="198">
        <v>200</v>
      </c>
      <c r="F17" s="199">
        <v>3000</v>
      </c>
      <c r="G17" s="198">
        <v>3500</v>
      </c>
      <c r="H17" s="198">
        <v>3700</v>
      </c>
      <c r="I17" s="198"/>
      <c r="J17" s="198"/>
      <c r="K17" s="198"/>
      <c r="L17" s="198"/>
      <c r="M17" s="198"/>
      <c r="N17" s="198"/>
      <c r="O17" s="198">
        <v>5</v>
      </c>
      <c r="P17" s="198"/>
      <c r="Q17" s="3" t="s">
        <v>762</v>
      </c>
    </row>
    <row r="18" spans="2:21" x14ac:dyDescent="0.3">
      <c r="B18" s="3" t="s">
        <v>752</v>
      </c>
      <c r="C18" s="3" t="s">
        <v>756</v>
      </c>
      <c r="D18" s="3"/>
      <c r="E18" s="198">
        <v>300</v>
      </c>
      <c r="F18" s="199">
        <v>5000</v>
      </c>
      <c r="G18" s="198">
        <v>2500</v>
      </c>
      <c r="H18" s="198">
        <v>2550</v>
      </c>
      <c r="I18" s="198"/>
      <c r="J18" s="198"/>
      <c r="K18" s="198"/>
      <c r="L18" s="198"/>
      <c r="M18" s="198"/>
      <c r="N18" s="198"/>
      <c r="O18" s="198">
        <v>10</v>
      </c>
      <c r="P18" s="198"/>
      <c r="Q18" s="3" t="s">
        <v>762</v>
      </c>
    </row>
    <row r="19" spans="2:21" x14ac:dyDescent="0.3">
      <c r="B19" s="3" t="s">
        <v>753</v>
      </c>
      <c r="C19" s="3" t="s">
        <v>757</v>
      </c>
      <c r="D19" s="3"/>
      <c r="E19" s="198">
        <v>100</v>
      </c>
      <c r="F19" s="199">
        <v>7000</v>
      </c>
      <c r="G19" s="198">
        <v>3520</v>
      </c>
      <c r="H19" s="198">
        <v>3620</v>
      </c>
      <c r="I19" s="198"/>
      <c r="J19" s="198"/>
      <c r="K19" s="198"/>
      <c r="L19" s="198"/>
      <c r="M19" s="198"/>
      <c r="N19" s="198"/>
      <c r="O19" s="198">
        <v>50</v>
      </c>
      <c r="P19" s="198"/>
      <c r="Q19" s="3" t="s">
        <v>762</v>
      </c>
    </row>
    <row r="20" spans="2:21" x14ac:dyDescent="0.3">
      <c r="O20">
        <f>SUM(O16:O19)</f>
        <v>80</v>
      </c>
    </row>
    <row r="21" spans="2:21" x14ac:dyDescent="0.3">
      <c r="B21" s="3" t="s">
        <v>717</v>
      </c>
      <c r="C21" s="3" t="s">
        <v>718</v>
      </c>
      <c r="D21" s="3" t="s">
        <v>719</v>
      </c>
      <c r="E21" s="3" t="s">
        <v>720</v>
      </c>
      <c r="F21" s="132" t="s">
        <v>721</v>
      </c>
      <c r="G21" s="3" t="s">
        <v>722</v>
      </c>
      <c r="H21" s="3" t="s">
        <v>723</v>
      </c>
      <c r="I21" s="3"/>
      <c r="J21" s="3" t="s">
        <v>724</v>
      </c>
      <c r="K21" s="210" t="s">
        <v>726</v>
      </c>
      <c r="L21" s="210"/>
      <c r="M21" s="210"/>
    </row>
    <row r="23" spans="2:21" x14ac:dyDescent="0.3">
      <c r="C23" t="s">
        <v>727</v>
      </c>
      <c r="P23" t="s">
        <v>759</v>
      </c>
      <c r="Q23" s="368" t="s">
        <v>760</v>
      </c>
      <c r="R23" s="368"/>
      <c r="S23" t="s">
        <v>761</v>
      </c>
    </row>
    <row r="24" spans="2:21" x14ac:dyDescent="0.3">
      <c r="B24" s="3" t="s">
        <v>767</v>
      </c>
      <c r="D24" s="3" t="s">
        <v>768</v>
      </c>
      <c r="P24" t="s">
        <v>37</v>
      </c>
      <c r="Q24">
        <v>28</v>
      </c>
      <c r="R24" t="s">
        <v>758</v>
      </c>
      <c r="S24">
        <v>26000</v>
      </c>
    </row>
    <row r="25" spans="2:21" x14ac:dyDescent="0.3">
      <c r="B25" s="214" t="s">
        <v>750</v>
      </c>
      <c r="D25" s="219" t="s">
        <v>752</v>
      </c>
      <c r="P25" t="s">
        <v>40</v>
      </c>
      <c r="Q25">
        <v>65</v>
      </c>
      <c r="R25" t="s">
        <v>758</v>
      </c>
      <c r="S25">
        <v>26000</v>
      </c>
    </row>
    <row r="26" spans="2:21" x14ac:dyDescent="0.3">
      <c r="B26" s="215" t="s">
        <v>763</v>
      </c>
      <c r="D26" s="217" t="s">
        <v>770</v>
      </c>
      <c r="P26" t="s">
        <v>38</v>
      </c>
      <c r="Q26">
        <v>72</v>
      </c>
      <c r="R26" t="s">
        <v>758</v>
      </c>
      <c r="S26">
        <v>26000</v>
      </c>
    </row>
    <row r="27" spans="2:21" x14ac:dyDescent="0.3">
      <c r="B27" s="215"/>
      <c r="D27" s="220"/>
      <c r="P27" t="s">
        <v>39</v>
      </c>
      <c r="Q27">
        <v>80</v>
      </c>
      <c r="R27" t="s">
        <v>758</v>
      </c>
      <c r="S27">
        <v>30000</v>
      </c>
    </row>
    <row r="28" spans="2:21" x14ac:dyDescent="0.3">
      <c r="B28" s="215"/>
      <c r="D28" s="220"/>
    </row>
    <row r="29" spans="2:21" ht="43.2" x14ac:dyDescent="0.3">
      <c r="B29" s="215"/>
      <c r="D29" s="220"/>
      <c r="G29" s="185" t="s">
        <v>544</v>
      </c>
      <c r="H29" s="185" t="s">
        <v>545</v>
      </c>
      <c r="I29" s="185"/>
      <c r="J29" s="185" t="s">
        <v>546</v>
      </c>
      <c r="K29" s="185" t="s">
        <v>547</v>
      </c>
      <c r="L29" s="185"/>
      <c r="M29" s="185"/>
      <c r="N29" s="185" t="s">
        <v>548</v>
      </c>
      <c r="O29" s="186" t="s">
        <v>558</v>
      </c>
      <c r="P29" s="186" t="s">
        <v>559</v>
      </c>
      <c r="Q29" s="185" t="s">
        <v>552</v>
      </c>
      <c r="R29" s="185" t="s">
        <v>553</v>
      </c>
      <c r="S29" s="185" t="s">
        <v>554</v>
      </c>
      <c r="T29" s="186" t="s">
        <v>560</v>
      </c>
    </row>
    <row r="30" spans="2:21" x14ac:dyDescent="0.3">
      <c r="B30" s="215"/>
      <c r="D30" s="220"/>
      <c r="F30" s="32" t="s">
        <v>765</v>
      </c>
      <c r="G30" s="222" t="s">
        <v>753</v>
      </c>
      <c r="H30" s="222" t="s">
        <v>757</v>
      </c>
      <c r="I30" s="222"/>
      <c r="J30" s="222"/>
      <c r="K30" s="222">
        <v>100</v>
      </c>
      <c r="L30" s="222"/>
      <c r="M30" s="222"/>
      <c r="N30" s="223">
        <v>7000</v>
      </c>
      <c r="O30" s="222">
        <v>3520</v>
      </c>
      <c r="P30" s="222">
        <v>3620</v>
      </c>
      <c r="Q30" s="222"/>
      <c r="R30" s="222"/>
      <c r="S30" s="222"/>
      <c r="T30" s="222">
        <v>10</v>
      </c>
      <c r="U30" s="224">
        <f>T30/100</f>
        <v>0.1</v>
      </c>
    </row>
    <row r="31" spans="2:21" x14ac:dyDescent="0.3">
      <c r="B31" s="216" t="s">
        <v>751</v>
      </c>
      <c r="D31" s="220" t="s">
        <v>753</v>
      </c>
      <c r="F31" s="32" t="s">
        <v>766</v>
      </c>
      <c r="G31" s="3"/>
      <c r="H31" s="3"/>
      <c r="I31" s="3"/>
      <c r="J31" s="3"/>
      <c r="K31" s="3">
        <v>80</v>
      </c>
      <c r="L31" s="3"/>
      <c r="M31" s="3"/>
      <c r="N31" s="3">
        <v>6000</v>
      </c>
      <c r="O31" s="3">
        <v>2800</v>
      </c>
      <c r="P31" s="3">
        <v>2900</v>
      </c>
      <c r="Q31" s="3"/>
      <c r="R31" s="3"/>
      <c r="S31" s="3"/>
      <c r="T31" s="3">
        <v>8</v>
      </c>
      <c r="U31">
        <f>U30*K31</f>
        <v>8</v>
      </c>
    </row>
    <row r="32" spans="2:21" x14ac:dyDescent="0.3">
      <c r="B32" s="216" t="s">
        <v>764</v>
      </c>
      <c r="D32" s="220" t="s">
        <v>771</v>
      </c>
      <c r="K32">
        <v>20</v>
      </c>
      <c r="N32">
        <f>N30-N31</f>
        <v>1000</v>
      </c>
      <c r="O32">
        <f t="shared" ref="O32:P32" si="0">O30-O31</f>
        <v>720</v>
      </c>
      <c r="P32">
        <f t="shared" si="0"/>
        <v>720</v>
      </c>
      <c r="T32">
        <v>2</v>
      </c>
    </row>
    <row r="33" spans="2:20" x14ac:dyDescent="0.3">
      <c r="B33" s="216"/>
      <c r="D33" s="220"/>
      <c r="T33" t="s">
        <v>716</v>
      </c>
    </row>
    <row r="34" spans="2:20" x14ac:dyDescent="0.3">
      <c r="B34" s="217" t="s">
        <v>752</v>
      </c>
      <c r="D34" s="220"/>
    </row>
    <row r="35" spans="2:20" x14ac:dyDescent="0.3">
      <c r="B35" s="218" t="s">
        <v>769</v>
      </c>
      <c r="D35" s="221"/>
    </row>
    <row r="36" spans="2:20" x14ac:dyDescent="0.3">
      <c r="B36" t="s">
        <v>772</v>
      </c>
      <c r="D36" t="s">
        <v>774</v>
      </c>
    </row>
    <row r="37" spans="2:20" x14ac:dyDescent="0.3">
      <c r="B37" t="s">
        <v>773</v>
      </c>
      <c r="D37" t="s">
        <v>775</v>
      </c>
    </row>
    <row r="39" spans="2:20" x14ac:dyDescent="0.3">
      <c r="B39" s="225" t="s">
        <v>781</v>
      </c>
      <c r="D39" s="225" t="s">
        <v>781</v>
      </c>
    </row>
    <row r="41" spans="2:20" x14ac:dyDescent="0.3">
      <c r="B41" t="s">
        <v>728</v>
      </c>
    </row>
    <row r="42" spans="2:20" x14ac:dyDescent="0.3">
      <c r="B42" t="s">
        <v>729</v>
      </c>
    </row>
    <row r="43" spans="2:20" x14ac:dyDescent="0.3">
      <c r="G43" t="s">
        <v>815</v>
      </c>
    </row>
    <row r="45" spans="2:20" x14ac:dyDescent="0.3">
      <c r="G45" s="3" t="s">
        <v>713</v>
      </c>
      <c r="H45" s="3" t="s">
        <v>395</v>
      </c>
      <c r="I45" s="3" t="s">
        <v>565</v>
      </c>
      <c r="J45" s="3" t="s">
        <v>108</v>
      </c>
      <c r="K45" s="3" t="s">
        <v>822</v>
      </c>
      <c r="L45" s="3" t="s">
        <v>529</v>
      </c>
      <c r="M45" s="3" t="s">
        <v>824</v>
      </c>
      <c r="N45" s="3" t="s">
        <v>544</v>
      </c>
      <c r="O45" s="3" t="s">
        <v>804</v>
      </c>
      <c r="P45" s="3" t="s">
        <v>758</v>
      </c>
      <c r="Q45" s="3" t="s">
        <v>805</v>
      </c>
      <c r="R45" s="3" t="s">
        <v>806</v>
      </c>
      <c r="S45" s="80" t="s">
        <v>645</v>
      </c>
    </row>
    <row r="46" spans="2:20" x14ac:dyDescent="0.3">
      <c r="G46" s="359" t="s">
        <v>807</v>
      </c>
      <c r="H46" s="359" t="s">
        <v>808</v>
      </c>
      <c r="I46" s="361" t="s">
        <v>823</v>
      </c>
      <c r="J46" s="359" t="s">
        <v>369</v>
      </c>
      <c r="K46" s="359" t="s">
        <v>369</v>
      </c>
      <c r="L46" s="361" t="s">
        <v>821</v>
      </c>
      <c r="M46" s="361" t="s">
        <v>825</v>
      </c>
      <c r="N46" s="3" t="s">
        <v>809</v>
      </c>
      <c r="O46" s="3">
        <v>5</v>
      </c>
      <c r="P46" s="3">
        <v>15</v>
      </c>
      <c r="Q46" s="3">
        <v>20</v>
      </c>
      <c r="R46" s="3">
        <v>22</v>
      </c>
      <c r="S46" s="359" t="s">
        <v>812</v>
      </c>
    </row>
    <row r="47" spans="2:20" x14ac:dyDescent="0.3">
      <c r="G47" s="359"/>
      <c r="H47" s="359"/>
      <c r="I47" s="363"/>
      <c r="J47" s="359"/>
      <c r="K47" s="359"/>
      <c r="L47" s="363"/>
      <c r="M47" s="363"/>
      <c r="N47" s="3" t="s">
        <v>810</v>
      </c>
      <c r="O47" s="3">
        <v>10</v>
      </c>
      <c r="P47" s="3">
        <v>13</v>
      </c>
      <c r="Q47" s="3">
        <v>30</v>
      </c>
      <c r="R47" s="3">
        <v>32</v>
      </c>
      <c r="S47" s="359"/>
    </row>
    <row r="49" spans="7:19" x14ac:dyDescent="0.3">
      <c r="G49" t="s">
        <v>811</v>
      </c>
    </row>
    <row r="51" spans="7:19" x14ac:dyDescent="0.3">
      <c r="G51" s="3" t="s">
        <v>713</v>
      </c>
      <c r="H51" s="3" t="s">
        <v>395</v>
      </c>
      <c r="I51" s="3" t="s">
        <v>565</v>
      </c>
      <c r="J51" s="3" t="s">
        <v>108</v>
      </c>
      <c r="K51" s="3" t="s">
        <v>803</v>
      </c>
      <c r="L51" s="3" t="s">
        <v>529</v>
      </c>
      <c r="M51" s="3" t="s">
        <v>824</v>
      </c>
      <c r="N51" s="3" t="s">
        <v>544</v>
      </c>
      <c r="O51" s="3" t="s">
        <v>804</v>
      </c>
      <c r="P51" s="3" t="s">
        <v>758</v>
      </c>
      <c r="Q51" s="3" t="s">
        <v>805</v>
      </c>
      <c r="R51" s="3" t="s">
        <v>806</v>
      </c>
      <c r="S51" s="80" t="s">
        <v>645</v>
      </c>
    </row>
    <row r="52" spans="7:19" x14ac:dyDescent="0.3">
      <c r="G52" s="352" t="s">
        <v>807</v>
      </c>
      <c r="H52" s="352" t="s">
        <v>808</v>
      </c>
      <c r="I52" s="361" t="s">
        <v>823</v>
      </c>
      <c r="J52" s="352" t="s">
        <v>369</v>
      </c>
      <c r="K52" s="352" t="s">
        <v>368</v>
      </c>
      <c r="L52" s="361" t="s">
        <v>821</v>
      </c>
      <c r="M52" s="361" t="s">
        <v>825</v>
      </c>
      <c r="N52" s="3" t="s">
        <v>809</v>
      </c>
      <c r="O52" s="3">
        <v>5</v>
      </c>
      <c r="P52" s="3">
        <v>15</v>
      </c>
      <c r="Q52" s="3">
        <v>20</v>
      </c>
      <c r="R52" s="3">
        <v>22</v>
      </c>
      <c r="S52" s="359" t="s">
        <v>812</v>
      </c>
    </row>
    <row r="53" spans="7:19" x14ac:dyDescent="0.3">
      <c r="G53" s="352"/>
      <c r="H53" s="352"/>
      <c r="I53" s="363"/>
      <c r="J53" s="352"/>
      <c r="K53" s="352"/>
      <c r="L53" s="363"/>
      <c r="M53" s="363"/>
      <c r="N53" s="3" t="s">
        <v>810</v>
      </c>
      <c r="O53" s="3">
        <v>10</v>
      </c>
      <c r="P53" s="3">
        <v>13</v>
      </c>
      <c r="Q53" s="3">
        <v>30</v>
      </c>
      <c r="R53" s="3">
        <v>32</v>
      </c>
      <c r="S53" s="359"/>
    </row>
    <row r="55" spans="7:19" x14ac:dyDescent="0.3">
      <c r="G55" t="s">
        <v>819</v>
      </c>
    </row>
    <row r="56" spans="7:19" x14ac:dyDescent="0.3">
      <c r="G56" t="s">
        <v>820</v>
      </c>
    </row>
    <row r="58" spans="7:19" x14ac:dyDescent="0.3">
      <c r="G58" s="3" t="s">
        <v>713</v>
      </c>
      <c r="H58" s="3" t="s">
        <v>395</v>
      </c>
      <c r="I58" s="3" t="s">
        <v>565</v>
      </c>
      <c r="J58" s="3" t="s">
        <v>108</v>
      </c>
      <c r="K58" s="3" t="s">
        <v>634</v>
      </c>
      <c r="L58" s="3" t="s">
        <v>826</v>
      </c>
      <c r="M58" s="3" t="s">
        <v>824</v>
      </c>
      <c r="N58" s="3" t="s">
        <v>544</v>
      </c>
      <c r="O58" s="3" t="s">
        <v>804</v>
      </c>
      <c r="P58" s="3" t="s">
        <v>758</v>
      </c>
      <c r="Q58" s="3" t="s">
        <v>805</v>
      </c>
      <c r="R58" s="3" t="s">
        <v>806</v>
      </c>
      <c r="S58" s="80" t="s">
        <v>645</v>
      </c>
    </row>
    <row r="59" spans="7:19" x14ac:dyDescent="0.3">
      <c r="G59" s="359" t="s">
        <v>807</v>
      </c>
      <c r="H59" s="359" t="s">
        <v>808</v>
      </c>
      <c r="I59" s="239" t="s">
        <v>823</v>
      </c>
      <c r="J59" s="364" t="s">
        <v>369</v>
      </c>
      <c r="K59" s="237" t="s">
        <v>369</v>
      </c>
      <c r="L59" s="365" t="s">
        <v>821</v>
      </c>
      <c r="M59" s="361" t="s">
        <v>825</v>
      </c>
      <c r="N59" s="3" t="s">
        <v>809</v>
      </c>
      <c r="O59" s="3">
        <v>5</v>
      </c>
      <c r="P59" s="3">
        <v>10</v>
      </c>
      <c r="Q59" s="3">
        <v>20</v>
      </c>
      <c r="R59" s="3">
        <v>22</v>
      </c>
      <c r="S59" s="235" t="s">
        <v>812</v>
      </c>
    </row>
    <row r="60" spans="7:19" x14ac:dyDescent="0.3">
      <c r="G60" s="359"/>
      <c r="H60" s="359"/>
      <c r="I60" s="239" t="s">
        <v>827</v>
      </c>
      <c r="J60" s="364"/>
      <c r="K60" s="238" t="s">
        <v>368</v>
      </c>
      <c r="L60" s="366"/>
      <c r="M60" s="362"/>
      <c r="N60" s="3" t="s">
        <v>810</v>
      </c>
      <c r="O60" s="3">
        <v>10</v>
      </c>
      <c r="P60" s="3">
        <v>12</v>
      </c>
      <c r="Q60" s="3">
        <v>30</v>
      </c>
      <c r="R60" s="3">
        <v>32</v>
      </c>
      <c r="S60" s="235" t="s">
        <v>814</v>
      </c>
    </row>
    <row r="61" spans="7:19" x14ac:dyDescent="0.3">
      <c r="G61" s="359"/>
      <c r="H61" s="359"/>
      <c r="I61" s="239" t="s">
        <v>828</v>
      </c>
      <c r="J61" s="364"/>
      <c r="K61" s="236" t="s">
        <v>813</v>
      </c>
      <c r="L61" s="367"/>
      <c r="M61" s="363"/>
      <c r="N61" s="3" t="s">
        <v>816</v>
      </c>
      <c r="O61" s="3">
        <v>15</v>
      </c>
      <c r="P61" s="3">
        <v>6</v>
      </c>
      <c r="Q61" s="3">
        <v>35</v>
      </c>
      <c r="R61" s="80">
        <v>38</v>
      </c>
      <c r="S61" s="235" t="s">
        <v>817</v>
      </c>
    </row>
    <row r="63" spans="7:19" x14ac:dyDescent="0.3">
      <c r="G63" t="s">
        <v>818</v>
      </c>
    </row>
    <row r="65" spans="7:19" x14ac:dyDescent="0.3">
      <c r="G65" s="3" t="s">
        <v>713</v>
      </c>
      <c r="H65" s="3" t="s">
        <v>395</v>
      </c>
      <c r="I65" s="3" t="s">
        <v>565</v>
      </c>
      <c r="J65" s="3" t="s">
        <v>108</v>
      </c>
      <c r="K65" s="3" t="s">
        <v>803</v>
      </c>
      <c r="L65" s="3" t="s">
        <v>826</v>
      </c>
      <c r="M65" s="3"/>
      <c r="N65" s="3" t="s">
        <v>544</v>
      </c>
      <c r="O65" s="3" t="s">
        <v>804</v>
      </c>
      <c r="P65" s="3" t="s">
        <v>758</v>
      </c>
      <c r="Q65" s="3" t="s">
        <v>805</v>
      </c>
      <c r="R65" s="3" t="s">
        <v>806</v>
      </c>
      <c r="S65" s="80" t="s">
        <v>645</v>
      </c>
    </row>
    <row r="66" spans="7:19" x14ac:dyDescent="0.3">
      <c r="G66" s="352" t="s">
        <v>807</v>
      </c>
      <c r="H66" s="352" t="s">
        <v>808</v>
      </c>
      <c r="I66" s="361" t="s">
        <v>823</v>
      </c>
      <c r="J66" s="352" t="s">
        <v>369</v>
      </c>
      <c r="K66" s="353" t="s">
        <v>369</v>
      </c>
      <c r="L66" s="353"/>
      <c r="M66" s="212"/>
      <c r="N66" s="3" t="s">
        <v>809</v>
      </c>
      <c r="O66" s="3">
        <v>5</v>
      </c>
      <c r="P66" s="3">
        <v>2</v>
      </c>
      <c r="Q66" s="3">
        <v>20</v>
      </c>
      <c r="R66" s="3">
        <v>22</v>
      </c>
      <c r="S66" s="235" t="s">
        <v>812</v>
      </c>
    </row>
    <row r="67" spans="7:19" x14ac:dyDescent="0.3">
      <c r="G67" s="352"/>
      <c r="H67" s="352"/>
      <c r="I67" s="363"/>
      <c r="J67" s="352"/>
      <c r="K67" s="354"/>
      <c r="L67" s="354"/>
      <c r="M67" s="213"/>
      <c r="N67" s="3" t="s">
        <v>810</v>
      </c>
      <c r="O67" s="3">
        <v>10</v>
      </c>
      <c r="P67" s="3">
        <v>3</v>
      </c>
      <c r="Q67" s="3">
        <v>30</v>
      </c>
      <c r="R67" s="3">
        <v>32</v>
      </c>
      <c r="S67" s="235" t="s">
        <v>814</v>
      </c>
    </row>
  </sheetData>
  <mergeCells count="30">
    <mergeCell ref="G46:G47"/>
    <mergeCell ref="H46:H47"/>
    <mergeCell ref="J46:J47"/>
    <mergeCell ref="K46:K47"/>
    <mergeCell ref="S46:S47"/>
    <mergeCell ref="L46:L47"/>
    <mergeCell ref="I46:I47"/>
    <mergeCell ref="M46:M47"/>
    <mergeCell ref="H52:H53"/>
    <mergeCell ref="J52:J53"/>
    <mergeCell ref="K52:K53"/>
    <mergeCell ref="S6:T6"/>
    <mergeCell ref="J14:N14"/>
    <mergeCell ref="Q23:R23"/>
    <mergeCell ref="L66:L67"/>
    <mergeCell ref="S52:S53"/>
    <mergeCell ref="G66:G67"/>
    <mergeCell ref="H66:H67"/>
    <mergeCell ref="J66:J67"/>
    <mergeCell ref="J59:J61"/>
    <mergeCell ref="H59:H61"/>
    <mergeCell ref="G59:G61"/>
    <mergeCell ref="K66:K67"/>
    <mergeCell ref="L52:L53"/>
    <mergeCell ref="I52:I53"/>
    <mergeCell ref="M52:M53"/>
    <mergeCell ref="L59:L61"/>
    <mergeCell ref="M59:M61"/>
    <mergeCell ref="I66:I67"/>
    <mergeCell ref="G52:G53"/>
  </mergeCells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8658" r:id="rId3" name="Drop Down 2">
              <controlPr defaultSize="0" autoLine="0" autoPict="0">
                <anchor moveWithCells="1">
                  <from>
                    <xdr:col>2</xdr:col>
                    <xdr:colOff>182880</xdr:colOff>
                    <xdr:row>12</xdr:row>
                    <xdr:rowOff>7620</xdr:rowOff>
                  </from>
                  <to>
                    <xdr:col>3</xdr:col>
                    <xdr:colOff>121920</xdr:colOff>
                    <xdr:row>13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showGridLines="0" workbookViewId="0"/>
  </sheetViews>
  <sheetFormatPr defaultRowHeight="14.4" x14ac:dyDescent="0.3"/>
  <cols>
    <col min="2" max="2" width="12.5546875" bestFit="1" customWidth="1"/>
    <col min="3" max="3" width="16" customWidth="1"/>
    <col min="4" max="4" width="10.77734375" customWidth="1"/>
    <col min="5" max="5" width="8.88671875" customWidth="1"/>
    <col min="6" max="6" width="10.44140625" style="32" bestFit="1" customWidth="1"/>
    <col min="7" max="7" width="12.33203125" bestFit="1" customWidth="1"/>
    <col min="8" max="8" width="9.77734375" bestFit="1" customWidth="1"/>
    <col min="9" max="9" width="9" bestFit="1" customWidth="1"/>
    <col min="10" max="10" width="17.33203125" bestFit="1" customWidth="1"/>
    <col min="11" max="11" width="10.88671875" bestFit="1" customWidth="1"/>
    <col min="12" max="12" width="10.88671875" customWidth="1"/>
    <col min="13" max="13" width="9.44140625" customWidth="1"/>
    <col min="14" max="14" width="11.109375" customWidth="1"/>
    <col min="15" max="15" width="7.77734375" customWidth="1"/>
  </cols>
  <sheetData>
    <row r="1" spans="1:20" x14ac:dyDescent="0.3">
      <c r="A1" s="2" t="s">
        <v>119</v>
      </c>
    </row>
    <row r="2" spans="1:20" x14ac:dyDescent="0.3">
      <c r="I2" s="21"/>
      <c r="J2" s="21"/>
      <c r="K2" s="21"/>
      <c r="L2" s="21"/>
      <c r="M2" s="21"/>
      <c r="N2" s="21"/>
    </row>
    <row r="3" spans="1:20" x14ac:dyDescent="0.3">
      <c r="B3" s="41"/>
      <c r="C3" s="41"/>
      <c r="D3" s="41"/>
      <c r="E3" s="41"/>
      <c r="F3" s="41"/>
      <c r="G3" s="41"/>
      <c r="H3" s="41"/>
      <c r="I3" s="41"/>
      <c r="J3" s="41" t="s">
        <v>783</v>
      </c>
      <c r="K3" s="41"/>
      <c r="L3" s="41"/>
      <c r="M3" s="41"/>
      <c r="N3" s="41"/>
      <c r="O3" s="42"/>
    </row>
    <row r="4" spans="1:20" x14ac:dyDescent="0.3">
      <c r="F4"/>
    </row>
    <row r="5" spans="1:20" x14ac:dyDescent="0.3">
      <c r="F5"/>
      <c r="N5" s="3" t="s">
        <v>55</v>
      </c>
      <c r="O5" s="20"/>
    </row>
    <row r="6" spans="1:20" x14ac:dyDescent="0.3">
      <c r="B6" s="6" t="s">
        <v>565</v>
      </c>
      <c r="C6" s="6" t="s">
        <v>629</v>
      </c>
      <c r="D6" s="6" t="s">
        <v>92</v>
      </c>
      <c r="E6" s="6" t="s">
        <v>634</v>
      </c>
      <c r="F6" s="6" t="s">
        <v>115</v>
      </c>
      <c r="G6" s="6" t="s">
        <v>114</v>
      </c>
      <c r="H6" s="6" t="s">
        <v>398</v>
      </c>
      <c r="I6" s="6" t="s">
        <v>399</v>
      </c>
      <c r="J6" s="6" t="s">
        <v>116</v>
      </c>
      <c r="K6" s="6" t="s">
        <v>36</v>
      </c>
      <c r="L6" s="6" t="s">
        <v>784</v>
      </c>
      <c r="M6" s="140" t="s">
        <v>786</v>
      </c>
      <c r="N6" s="357" t="s">
        <v>118</v>
      </c>
      <c r="O6" s="358"/>
    </row>
    <row r="7" spans="1:20" x14ac:dyDescent="0.3">
      <c r="B7" s="3" t="s">
        <v>776</v>
      </c>
      <c r="C7" s="3" t="s">
        <v>777</v>
      </c>
      <c r="D7" s="3" t="s">
        <v>778</v>
      </c>
      <c r="E7" s="3" t="s">
        <v>778</v>
      </c>
      <c r="F7" s="3" t="s">
        <v>779</v>
      </c>
      <c r="G7" s="3" t="s">
        <v>371</v>
      </c>
      <c r="H7" s="3" t="s">
        <v>372</v>
      </c>
      <c r="I7" s="3" t="s">
        <v>373</v>
      </c>
      <c r="J7" s="3" t="s">
        <v>393</v>
      </c>
      <c r="K7" s="3" t="s">
        <v>780</v>
      </c>
      <c r="L7" s="118">
        <v>46276</v>
      </c>
      <c r="M7" s="118" t="s">
        <v>787</v>
      </c>
      <c r="N7" s="2" t="s">
        <v>785</v>
      </c>
      <c r="O7" s="2" t="s">
        <v>791</v>
      </c>
    </row>
    <row r="8" spans="1:20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80"/>
    </row>
    <row r="9" spans="1:20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80"/>
    </row>
    <row r="10" spans="1:20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80"/>
    </row>
    <row r="13" spans="1:20" x14ac:dyDescent="0.3">
      <c r="F13" s="37"/>
      <c r="G13" s="14"/>
      <c r="H13" s="14"/>
      <c r="I13" s="14"/>
      <c r="J13" s="14"/>
      <c r="K13" s="14"/>
      <c r="L13" s="14"/>
      <c r="M13" s="14"/>
      <c r="N13" s="87"/>
      <c r="O13" s="14"/>
    </row>
    <row r="14" spans="1:20" x14ac:dyDescent="0.3">
      <c r="C14" s="32"/>
      <c r="D14" s="3" t="s">
        <v>767</v>
      </c>
      <c r="F14" s="3" t="s">
        <v>768</v>
      </c>
      <c r="H14" s="14"/>
      <c r="I14" s="230" t="s">
        <v>797</v>
      </c>
      <c r="J14" s="230"/>
      <c r="K14" s="230"/>
      <c r="L14" s="14"/>
      <c r="M14" s="14"/>
      <c r="N14" s="14"/>
      <c r="O14" s="14"/>
    </row>
    <row r="15" spans="1:20" x14ac:dyDescent="0.3">
      <c r="D15" s="214" t="s">
        <v>750</v>
      </c>
      <c r="F15" s="219" t="s">
        <v>752</v>
      </c>
      <c r="H15" s="14"/>
      <c r="I15" s="14" t="s">
        <v>793</v>
      </c>
      <c r="J15" s="14"/>
      <c r="K15" s="14" t="s">
        <v>798</v>
      </c>
      <c r="L15" s="14"/>
      <c r="M15" s="14"/>
      <c r="N15" s="14" t="s">
        <v>799</v>
      </c>
      <c r="O15" s="14"/>
    </row>
    <row r="16" spans="1:20" ht="43.2" x14ac:dyDescent="0.3">
      <c r="D16" s="215" t="s">
        <v>763</v>
      </c>
      <c r="F16" s="217" t="s">
        <v>770</v>
      </c>
      <c r="I16" s="6" t="s">
        <v>784</v>
      </c>
      <c r="J16" s="185" t="s">
        <v>544</v>
      </c>
      <c r="K16" s="185" t="s">
        <v>545</v>
      </c>
      <c r="L16" s="185" t="s">
        <v>546</v>
      </c>
      <c r="M16" s="185" t="s">
        <v>547</v>
      </c>
      <c r="N16" s="185" t="s">
        <v>548</v>
      </c>
      <c r="O16" s="186" t="s">
        <v>558</v>
      </c>
      <c r="P16" s="186" t="s">
        <v>559</v>
      </c>
      <c r="Q16" s="185" t="s">
        <v>552</v>
      </c>
      <c r="R16" s="185" t="s">
        <v>553</v>
      </c>
      <c r="S16" s="185" t="s">
        <v>554</v>
      </c>
      <c r="T16" s="186" t="s">
        <v>560</v>
      </c>
    </row>
    <row r="17" spans="3:20" x14ac:dyDescent="0.3">
      <c r="D17" s="215"/>
      <c r="F17" s="220"/>
      <c r="I17" s="359" t="s">
        <v>793</v>
      </c>
      <c r="J17" s="80" t="s">
        <v>750</v>
      </c>
      <c r="K17" s="135" t="s">
        <v>754</v>
      </c>
      <c r="L17" s="80"/>
      <c r="M17" s="198">
        <v>500</v>
      </c>
      <c r="N17" s="198">
        <v>2000</v>
      </c>
      <c r="O17" s="198">
        <v>5000</v>
      </c>
      <c r="P17" s="198">
        <v>5500</v>
      </c>
      <c r="Q17" s="198"/>
      <c r="R17" s="198"/>
      <c r="S17" s="198"/>
      <c r="T17" s="198">
        <v>15</v>
      </c>
    </row>
    <row r="18" spans="3:20" x14ac:dyDescent="0.3">
      <c r="D18" s="215"/>
      <c r="F18" s="220"/>
      <c r="I18" s="359"/>
      <c r="J18" s="3" t="s">
        <v>751</v>
      </c>
      <c r="K18" s="3" t="s">
        <v>755</v>
      </c>
      <c r="L18" s="3"/>
      <c r="M18" s="198">
        <v>200</v>
      </c>
      <c r="N18" s="199">
        <v>3000</v>
      </c>
      <c r="O18" s="198">
        <v>3500</v>
      </c>
      <c r="P18" s="198">
        <v>3700</v>
      </c>
      <c r="Q18" s="198"/>
      <c r="R18" s="198"/>
      <c r="S18" s="198"/>
      <c r="T18" s="198">
        <v>5</v>
      </c>
    </row>
    <row r="19" spans="3:20" x14ac:dyDescent="0.3">
      <c r="D19" s="215"/>
      <c r="F19" s="220"/>
      <c r="I19" s="359"/>
      <c r="J19" s="3" t="s">
        <v>752</v>
      </c>
      <c r="K19" s="3" t="s">
        <v>756</v>
      </c>
      <c r="L19" s="3"/>
      <c r="M19" s="226">
        <v>80</v>
      </c>
      <c r="N19" s="226">
        <v>6000</v>
      </c>
      <c r="O19" s="226">
        <v>2800</v>
      </c>
      <c r="P19" s="226">
        <v>2900</v>
      </c>
      <c r="Q19" s="226"/>
      <c r="R19" s="226"/>
      <c r="S19" s="226"/>
      <c r="T19" s="226">
        <v>8</v>
      </c>
    </row>
    <row r="20" spans="3:20" x14ac:dyDescent="0.3">
      <c r="D20" s="215"/>
      <c r="F20" s="220"/>
      <c r="I20" s="3" t="s">
        <v>795</v>
      </c>
      <c r="J20" s="80" t="s">
        <v>796</v>
      </c>
      <c r="K20" s="80"/>
      <c r="L20" s="3"/>
      <c r="M20" s="3">
        <f>SUM(M17:M19)</f>
        <v>780</v>
      </c>
      <c r="N20" s="3">
        <f>SUM(N17:N19)</f>
        <v>11000</v>
      </c>
      <c r="O20" s="3">
        <f t="shared" ref="O20:P20" si="0">SUM(O17:O19)</f>
        <v>11300</v>
      </c>
      <c r="P20" s="3">
        <f t="shared" si="0"/>
        <v>12100</v>
      </c>
      <c r="Q20" s="3"/>
      <c r="R20" s="3"/>
      <c r="S20" s="3"/>
      <c r="T20" s="3">
        <f>SUM(T17:T19)</f>
        <v>28</v>
      </c>
    </row>
    <row r="21" spans="3:20" x14ac:dyDescent="0.3">
      <c r="D21" s="216" t="s">
        <v>751</v>
      </c>
      <c r="F21" s="220" t="s">
        <v>753</v>
      </c>
      <c r="H21" s="14"/>
    </row>
    <row r="22" spans="3:20" x14ac:dyDescent="0.3">
      <c r="D22" s="216" t="s">
        <v>764</v>
      </c>
      <c r="F22" s="220" t="s">
        <v>771</v>
      </c>
      <c r="H22" s="14"/>
      <c r="I22" s="14"/>
      <c r="J22" s="14"/>
      <c r="K22" s="14"/>
      <c r="L22" s="14"/>
      <c r="M22" s="14"/>
      <c r="N22" s="14"/>
      <c r="O22" s="14"/>
    </row>
    <row r="23" spans="3:20" x14ac:dyDescent="0.3">
      <c r="D23" s="216"/>
      <c r="F23" s="220"/>
      <c r="H23" s="14"/>
      <c r="I23" s="14"/>
      <c r="J23" s="14"/>
      <c r="K23" s="14"/>
      <c r="L23" s="14"/>
      <c r="M23" s="14"/>
      <c r="N23" s="14"/>
      <c r="O23" s="14"/>
    </row>
    <row r="24" spans="3:20" x14ac:dyDescent="0.3">
      <c r="D24" s="217" t="s">
        <v>752</v>
      </c>
      <c r="F24" s="220"/>
      <c r="I24" s="369" t="s">
        <v>794</v>
      </c>
      <c r="J24" s="228" t="s">
        <v>752</v>
      </c>
      <c r="K24" s="228" t="s">
        <v>756</v>
      </c>
      <c r="L24" s="227"/>
      <c r="M24" s="227">
        <v>20</v>
      </c>
      <c r="N24" s="227">
        <v>1000</v>
      </c>
      <c r="O24" s="227">
        <v>720</v>
      </c>
      <c r="P24" s="227">
        <v>720</v>
      </c>
      <c r="Q24" s="227"/>
      <c r="R24" s="227"/>
      <c r="S24" s="227"/>
      <c r="T24" s="227">
        <v>2</v>
      </c>
    </row>
    <row r="25" spans="3:20" x14ac:dyDescent="0.3">
      <c r="D25" s="218" t="s">
        <v>769</v>
      </c>
      <c r="F25" s="221"/>
      <c r="I25" s="369"/>
      <c r="J25" s="228" t="s">
        <v>753</v>
      </c>
      <c r="K25" s="228" t="s">
        <v>757</v>
      </c>
      <c r="L25" s="228"/>
      <c r="M25" s="228">
        <v>100</v>
      </c>
      <c r="N25" s="229">
        <v>7000</v>
      </c>
      <c r="O25" s="228">
        <v>3520</v>
      </c>
      <c r="P25" s="228">
        <v>3620</v>
      </c>
      <c r="Q25" s="228"/>
      <c r="R25" s="228"/>
      <c r="S25" s="228"/>
      <c r="T25" s="228">
        <v>50</v>
      </c>
    </row>
    <row r="26" spans="3:20" x14ac:dyDescent="0.3">
      <c r="D26" t="s">
        <v>772</v>
      </c>
      <c r="F26" t="s">
        <v>774</v>
      </c>
    </row>
    <row r="27" spans="3:20" x14ac:dyDescent="0.3">
      <c r="D27" t="s">
        <v>773</v>
      </c>
      <c r="F27" t="s">
        <v>775</v>
      </c>
    </row>
    <row r="28" spans="3:20" x14ac:dyDescent="0.3">
      <c r="C28" s="32" t="s">
        <v>788</v>
      </c>
      <c r="D28" s="3"/>
      <c r="F28" s="3"/>
    </row>
    <row r="29" spans="3:20" x14ac:dyDescent="0.3">
      <c r="C29" s="32" t="s">
        <v>789</v>
      </c>
      <c r="D29" s="3"/>
      <c r="F29" s="132"/>
    </row>
    <row r="30" spans="3:20" x14ac:dyDescent="0.3">
      <c r="C30" s="32" t="s">
        <v>792</v>
      </c>
      <c r="D30" s="3"/>
      <c r="F30" s="132"/>
    </row>
    <row r="31" spans="3:20" x14ac:dyDescent="0.3">
      <c r="C31" s="37" t="s">
        <v>800</v>
      </c>
      <c r="D31" s="3"/>
      <c r="F31" s="132"/>
    </row>
    <row r="32" spans="3:20" x14ac:dyDescent="0.3">
      <c r="C32" s="37" t="s">
        <v>801</v>
      </c>
      <c r="D32" s="3"/>
      <c r="F32" s="132"/>
    </row>
    <row r="33" spans="3:6" x14ac:dyDescent="0.3">
      <c r="C33" s="37" t="s">
        <v>802</v>
      </c>
      <c r="D33" s="3"/>
      <c r="F33" s="132"/>
    </row>
    <row r="35" spans="3:6" x14ac:dyDescent="0.3">
      <c r="D35" s="225" t="s">
        <v>790</v>
      </c>
      <c r="F35" s="225" t="s">
        <v>790</v>
      </c>
    </row>
  </sheetData>
  <mergeCells count="3">
    <mergeCell ref="N6:O6"/>
    <mergeCell ref="I17:I19"/>
    <mergeCell ref="I24:I25"/>
  </mergeCells>
  <hyperlinks>
    <hyperlink ref="A1" location="Menu!A1" display="Menu"/>
  </hyperlink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showGridLines="0" tabSelected="1" workbookViewId="0">
      <selection activeCell="O15" sqref="O15"/>
    </sheetView>
  </sheetViews>
  <sheetFormatPr defaultRowHeight="14.4" x14ac:dyDescent="0.3"/>
  <cols>
    <col min="2" max="2" width="12.5546875" bestFit="1" customWidth="1"/>
    <col min="3" max="3" width="16" customWidth="1"/>
    <col min="4" max="4" width="10.77734375" customWidth="1"/>
    <col min="5" max="5" width="8.88671875" customWidth="1"/>
    <col min="6" max="6" width="10.44140625" style="32" bestFit="1" customWidth="1"/>
    <col min="7" max="7" width="12.33203125" bestFit="1" customWidth="1"/>
    <col min="8" max="8" width="9.77734375" bestFit="1" customWidth="1"/>
    <col min="9" max="9" width="9" bestFit="1" customWidth="1"/>
    <col min="10" max="10" width="17.33203125" bestFit="1" customWidth="1"/>
    <col min="11" max="11" width="10.88671875" bestFit="1" customWidth="1"/>
    <col min="12" max="14" width="10.88671875" customWidth="1"/>
    <col min="15" max="15" width="11.33203125" bestFit="1" customWidth="1"/>
    <col min="16" max="16" width="7.77734375" customWidth="1"/>
  </cols>
  <sheetData>
    <row r="1" spans="1:16" x14ac:dyDescent="0.3">
      <c r="A1" s="2" t="s">
        <v>119</v>
      </c>
    </row>
    <row r="2" spans="1:16" x14ac:dyDescent="0.3">
      <c r="I2" s="21"/>
      <c r="J2" s="21"/>
      <c r="K2" s="21"/>
      <c r="L2" s="21"/>
      <c r="M2" s="21"/>
      <c r="N2" s="21"/>
      <c r="O2" s="21"/>
    </row>
    <row r="3" spans="1:16" x14ac:dyDescent="0.3">
      <c r="B3" s="41"/>
      <c r="C3" s="41"/>
      <c r="D3" s="41"/>
      <c r="E3" s="41"/>
      <c r="F3" s="41"/>
      <c r="G3" s="41"/>
      <c r="H3" s="41"/>
      <c r="I3" s="41"/>
      <c r="J3" s="41" t="s">
        <v>1583</v>
      </c>
      <c r="K3" s="41"/>
      <c r="L3" s="41"/>
      <c r="M3" s="41"/>
      <c r="N3" s="41"/>
      <c r="O3" s="41"/>
      <c r="P3" s="42"/>
    </row>
    <row r="4" spans="1:16" x14ac:dyDescent="0.3">
      <c r="F4"/>
    </row>
    <row r="5" spans="1:16" x14ac:dyDescent="0.3">
      <c r="F5"/>
      <c r="O5" s="3" t="s">
        <v>55</v>
      </c>
      <c r="P5" s="20"/>
    </row>
    <row r="6" spans="1:16" x14ac:dyDescent="0.3">
      <c r="B6" s="6" t="s">
        <v>565</v>
      </c>
      <c r="C6" s="6" t="s">
        <v>629</v>
      </c>
      <c r="D6" s="6" t="s">
        <v>92</v>
      </c>
      <c r="E6" s="6" t="s">
        <v>634</v>
      </c>
      <c r="F6" s="6" t="s">
        <v>115</v>
      </c>
      <c r="G6" s="6" t="s">
        <v>114</v>
      </c>
      <c r="H6" s="6" t="s">
        <v>398</v>
      </c>
      <c r="I6" s="6" t="s">
        <v>399</v>
      </c>
      <c r="J6" s="6" t="s">
        <v>788</v>
      </c>
      <c r="K6" s="6" t="s">
        <v>36</v>
      </c>
      <c r="L6" s="6" t="s">
        <v>784</v>
      </c>
      <c r="M6" s="6" t="s">
        <v>1576</v>
      </c>
      <c r="N6" s="6" t="s">
        <v>1577</v>
      </c>
      <c r="O6" s="358" t="s">
        <v>118</v>
      </c>
      <c r="P6" s="358"/>
    </row>
    <row r="7" spans="1:16" x14ac:dyDescent="0.3">
      <c r="B7" s="3" t="s">
        <v>776</v>
      </c>
      <c r="C7" s="3" t="s">
        <v>777</v>
      </c>
      <c r="D7" s="3" t="s">
        <v>778</v>
      </c>
      <c r="E7" s="3" t="s">
        <v>778</v>
      </c>
      <c r="F7" s="3" t="s">
        <v>779</v>
      </c>
      <c r="G7" s="3" t="s">
        <v>371</v>
      </c>
      <c r="H7" s="3" t="s">
        <v>372</v>
      </c>
      <c r="I7" s="3" t="s">
        <v>373</v>
      </c>
      <c r="J7" s="3" t="s">
        <v>1559</v>
      </c>
      <c r="K7" s="3" t="s">
        <v>780</v>
      </c>
      <c r="L7" s="118"/>
      <c r="M7" s="118" t="s">
        <v>1578</v>
      </c>
      <c r="N7" s="118" t="s">
        <v>1578</v>
      </c>
      <c r="O7" s="2" t="s">
        <v>1586</v>
      </c>
      <c r="P7" s="2" t="s">
        <v>1579</v>
      </c>
    </row>
    <row r="8" spans="1:16" x14ac:dyDescent="0.3">
      <c r="B8" s="3" t="s">
        <v>776</v>
      </c>
      <c r="C8" s="3" t="s">
        <v>777</v>
      </c>
      <c r="D8" s="3" t="s">
        <v>778</v>
      </c>
      <c r="E8" s="3" t="s">
        <v>778</v>
      </c>
      <c r="F8" s="3" t="s">
        <v>779</v>
      </c>
      <c r="G8" s="3" t="s">
        <v>371</v>
      </c>
      <c r="H8" s="3" t="s">
        <v>372</v>
      </c>
      <c r="I8" s="3" t="s">
        <v>373</v>
      </c>
      <c r="J8" s="3" t="s">
        <v>1560</v>
      </c>
      <c r="K8" s="3"/>
      <c r="L8" s="3"/>
      <c r="M8" s="3"/>
      <c r="N8" s="3"/>
      <c r="P8" s="80"/>
    </row>
    <row r="9" spans="1:16" x14ac:dyDescent="0.3">
      <c r="B9" s="3" t="s">
        <v>776</v>
      </c>
      <c r="C9" s="3" t="s">
        <v>777</v>
      </c>
      <c r="D9" s="3" t="s">
        <v>778</v>
      </c>
      <c r="E9" s="3" t="s">
        <v>778</v>
      </c>
      <c r="F9" s="3" t="s">
        <v>779</v>
      </c>
      <c r="G9" s="3" t="s">
        <v>371</v>
      </c>
      <c r="H9" s="3" t="s">
        <v>372</v>
      </c>
      <c r="I9" s="3" t="s">
        <v>373</v>
      </c>
      <c r="J9" s="3" t="s">
        <v>1561</v>
      </c>
      <c r="K9" s="3"/>
      <c r="L9" s="3"/>
      <c r="M9" s="3"/>
      <c r="N9" s="3"/>
      <c r="P9" s="80"/>
    </row>
    <row r="10" spans="1:16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P10" s="80"/>
    </row>
    <row r="12" spans="1:16" x14ac:dyDescent="0.3">
      <c r="B12" s="342"/>
      <c r="C12" s="343" t="s">
        <v>1556</v>
      </c>
      <c r="D12" s="343"/>
      <c r="E12" s="343"/>
      <c r="F12" s="344"/>
      <c r="H12" s="347" t="s">
        <v>1579</v>
      </c>
      <c r="I12" s="348"/>
      <c r="J12" s="348"/>
      <c r="K12" s="348"/>
      <c r="L12" s="348"/>
      <c r="M12" s="349"/>
    </row>
    <row r="13" spans="1:16" x14ac:dyDescent="0.3">
      <c r="B13" s="46"/>
      <c r="C13" s="21"/>
      <c r="D13" s="21"/>
      <c r="E13" s="21"/>
      <c r="F13" s="345"/>
      <c r="H13" s="46" t="s">
        <v>1580</v>
      </c>
      <c r="I13" s="21"/>
      <c r="J13" s="21" t="s">
        <v>1581</v>
      </c>
      <c r="K13" s="21" t="s">
        <v>1584</v>
      </c>
      <c r="L13" s="21"/>
      <c r="M13" s="48"/>
    </row>
    <row r="14" spans="1:16" x14ac:dyDescent="0.3">
      <c r="B14" s="20" t="s">
        <v>1558</v>
      </c>
      <c r="C14" s="34"/>
      <c r="D14" s="20" t="s">
        <v>788</v>
      </c>
      <c r="E14" s="33"/>
      <c r="F14" s="257"/>
      <c r="H14" s="20"/>
      <c r="I14" s="34"/>
      <c r="J14" s="3"/>
      <c r="K14" s="20"/>
      <c r="L14" s="34"/>
      <c r="M14" s="48"/>
    </row>
    <row r="15" spans="1:16" x14ac:dyDescent="0.3">
      <c r="B15" s="20"/>
      <c r="C15" s="34"/>
      <c r="D15" s="20"/>
      <c r="E15" s="33"/>
      <c r="F15" s="257"/>
      <c r="H15" s="46"/>
      <c r="I15" s="21"/>
      <c r="J15" s="21"/>
      <c r="K15" s="21"/>
      <c r="L15" s="21"/>
      <c r="M15" s="48"/>
    </row>
    <row r="16" spans="1:16" x14ac:dyDescent="0.3">
      <c r="B16" s="46"/>
      <c r="C16" s="21"/>
      <c r="D16" s="21"/>
      <c r="E16" s="21"/>
      <c r="F16" s="345"/>
      <c r="H16" s="46" t="s">
        <v>1585</v>
      </c>
      <c r="I16" s="21"/>
      <c r="J16" s="20"/>
      <c r="K16" s="33"/>
      <c r="L16" s="34"/>
      <c r="M16" s="48"/>
    </row>
    <row r="17" spans="2:13" x14ac:dyDescent="0.3">
      <c r="B17" s="46"/>
      <c r="C17" s="21"/>
      <c r="D17" s="21"/>
      <c r="E17" s="21"/>
      <c r="F17" s="345"/>
      <c r="H17" s="46"/>
      <c r="I17" s="21"/>
      <c r="J17" s="21" t="s">
        <v>1587</v>
      </c>
      <c r="K17" s="21"/>
      <c r="L17" s="21"/>
      <c r="M17" s="48"/>
    </row>
    <row r="18" spans="2:13" x14ac:dyDescent="0.3">
      <c r="B18" s="46" t="s">
        <v>1556</v>
      </c>
      <c r="C18" s="21"/>
      <c r="D18" s="21" t="s">
        <v>873</v>
      </c>
      <c r="E18" s="21"/>
      <c r="F18" s="345"/>
      <c r="H18" s="46"/>
      <c r="I18" s="21"/>
      <c r="J18" s="21"/>
      <c r="K18" s="21"/>
      <c r="L18" s="21"/>
      <c r="M18" s="48"/>
    </row>
    <row r="19" spans="2:13" x14ac:dyDescent="0.3">
      <c r="B19" s="20"/>
      <c r="C19" s="34"/>
      <c r="D19" s="20"/>
      <c r="E19" s="33"/>
      <c r="F19" s="34"/>
      <c r="H19" s="46"/>
      <c r="I19" s="21"/>
      <c r="J19" s="21"/>
      <c r="K19" s="21"/>
      <c r="L19" s="21"/>
      <c r="M19" s="48"/>
    </row>
    <row r="20" spans="2:13" x14ac:dyDescent="0.3">
      <c r="B20" s="46"/>
      <c r="C20" s="21"/>
      <c r="D20" s="21"/>
      <c r="E20" s="21"/>
      <c r="F20" s="345"/>
      <c r="H20" s="46"/>
      <c r="I20" s="21"/>
      <c r="J20" s="21"/>
      <c r="K20" s="21"/>
      <c r="L20" s="21"/>
      <c r="M20" s="48"/>
    </row>
    <row r="21" spans="2:13" x14ac:dyDescent="0.3">
      <c r="B21" s="46" t="s">
        <v>170</v>
      </c>
      <c r="C21" s="21"/>
      <c r="D21" s="21"/>
      <c r="E21" s="21"/>
      <c r="F21" s="345"/>
      <c r="H21" s="46"/>
      <c r="I21" s="21"/>
      <c r="J21" s="21"/>
      <c r="K21" s="21"/>
      <c r="L21" s="21"/>
      <c r="M21" s="48"/>
    </row>
    <row r="22" spans="2:13" x14ac:dyDescent="0.3">
      <c r="B22" s="20"/>
      <c r="C22" s="33"/>
      <c r="D22" s="33"/>
      <c r="E22" s="33"/>
      <c r="F22" s="257"/>
      <c r="H22" s="46"/>
      <c r="I22" s="21"/>
      <c r="J22" s="21"/>
      <c r="K22" s="21"/>
      <c r="L22" s="21"/>
      <c r="M22" s="48"/>
    </row>
    <row r="23" spans="2:13" x14ac:dyDescent="0.3">
      <c r="B23" s="46"/>
      <c r="C23" s="21"/>
      <c r="D23" s="21"/>
      <c r="E23" s="21"/>
      <c r="F23" s="345"/>
      <c r="H23" s="46"/>
      <c r="I23" s="21"/>
      <c r="J23" s="21"/>
      <c r="K23" s="21"/>
      <c r="L23" s="21"/>
      <c r="M23" s="48"/>
    </row>
    <row r="24" spans="2:13" x14ac:dyDescent="0.3">
      <c r="B24" s="50" t="s">
        <v>1588</v>
      </c>
      <c r="C24" s="1"/>
      <c r="D24" s="1"/>
      <c r="E24" s="1"/>
      <c r="F24" s="346"/>
      <c r="H24" s="50"/>
      <c r="I24" s="1"/>
      <c r="J24" s="1"/>
      <c r="K24" s="1"/>
      <c r="L24" s="1"/>
      <c r="M24" s="51"/>
    </row>
  </sheetData>
  <mergeCells count="1">
    <mergeCell ref="O6:P6"/>
  </mergeCells>
  <hyperlinks>
    <hyperlink ref="A1" location="Menu!A1" display="Menu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selection activeCell="M7" sqref="M7"/>
    </sheetView>
  </sheetViews>
  <sheetFormatPr defaultRowHeight="14.4" x14ac:dyDescent="0.3"/>
  <cols>
    <col min="2" max="2" width="12.5546875" bestFit="1" customWidth="1"/>
    <col min="3" max="3" width="16" customWidth="1"/>
    <col min="4" max="4" width="10.77734375" customWidth="1"/>
    <col min="5" max="5" width="8.88671875" customWidth="1"/>
    <col min="6" max="6" width="10.44140625" style="32" bestFit="1" customWidth="1"/>
    <col min="7" max="7" width="12.33203125" bestFit="1" customWidth="1"/>
    <col min="8" max="8" width="9.77734375" bestFit="1" customWidth="1"/>
    <col min="9" max="9" width="9" bestFit="1" customWidth="1"/>
    <col min="10" max="10" width="17.33203125" bestFit="1" customWidth="1"/>
    <col min="11" max="11" width="10.88671875" bestFit="1" customWidth="1"/>
    <col min="12" max="13" width="10.88671875" customWidth="1"/>
    <col min="14" max="14" width="11.109375" customWidth="1"/>
    <col min="15" max="15" width="7.77734375" customWidth="1"/>
  </cols>
  <sheetData>
    <row r="1" spans="1:15" x14ac:dyDescent="0.3">
      <c r="A1" s="2" t="s">
        <v>119</v>
      </c>
    </row>
    <row r="2" spans="1:15" x14ac:dyDescent="0.3">
      <c r="I2" s="21"/>
      <c r="J2" s="21"/>
      <c r="K2" s="21"/>
      <c r="L2" s="21"/>
      <c r="M2" s="21"/>
      <c r="N2" s="21"/>
    </row>
    <row r="3" spans="1:15" x14ac:dyDescent="0.3">
      <c r="B3" s="41"/>
      <c r="C3" s="41"/>
      <c r="D3" s="41"/>
      <c r="E3" s="41"/>
      <c r="F3" s="41"/>
      <c r="G3" s="41"/>
      <c r="H3" s="41"/>
      <c r="I3" s="41"/>
      <c r="J3" s="41" t="s">
        <v>1556</v>
      </c>
      <c r="K3" s="41"/>
      <c r="L3" s="41"/>
      <c r="M3" s="41"/>
      <c r="N3" s="41"/>
      <c r="O3" s="42"/>
    </row>
    <row r="4" spans="1:15" x14ac:dyDescent="0.3">
      <c r="F4"/>
    </row>
    <row r="5" spans="1:15" x14ac:dyDescent="0.3">
      <c r="F5"/>
      <c r="N5" s="3" t="s">
        <v>55</v>
      </c>
      <c r="O5" s="20"/>
    </row>
    <row r="6" spans="1:15" x14ac:dyDescent="0.3">
      <c r="B6" s="6" t="s">
        <v>565</v>
      </c>
      <c r="C6" s="6" t="s">
        <v>629</v>
      </c>
      <c r="D6" s="6" t="s">
        <v>92</v>
      </c>
      <c r="E6" s="6" t="s">
        <v>634</v>
      </c>
      <c r="F6" s="6" t="s">
        <v>115</v>
      </c>
      <c r="G6" s="6" t="s">
        <v>114</v>
      </c>
      <c r="H6" s="6" t="s">
        <v>398</v>
      </c>
      <c r="I6" s="6" t="s">
        <v>399</v>
      </c>
      <c r="J6" s="6" t="s">
        <v>788</v>
      </c>
      <c r="K6" s="6" t="s">
        <v>36</v>
      </c>
      <c r="L6" s="6" t="s">
        <v>1576</v>
      </c>
      <c r="M6" s="309" t="s">
        <v>1577</v>
      </c>
      <c r="N6" s="357" t="s">
        <v>118</v>
      </c>
      <c r="O6" s="358"/>
    </row>
    <row r="7" spans="1:15" x14ac:dyDescent="0.3">
      <c r="B7" s="3" t="s">
        <v>776</v>
      </c>
      <c r="C7" s="3" t="s">
        <v>777</v>
      </c>
      <c r="D7" s="3" t="s">
        <v>778</v>
      </c>
      <c r="E7" s="3" t="s">
        <v>778</v>
      </c>
      <c r="F7" s="3" t="s">
        <v>779</v>
      </c>
      <c r="G7" s="3" t="s">
        <v>371</v>
      </c>
      <c r="H7" s="3" t="s">
        <v>372</v>
      </c>
      <c r="I7" s="3" t="s">
        <v>373</v>
      </c>
      <c r="J7" s="3" t="s">
        <v>1559</v>
      </c>
      <c r="K7" s="3" t="s">
        <v>780</v>
      </c>
      <c r="L7" s="118"/>
      <c r="M7" s="341"/>
      <c r="N7" s="2" t="s">
        <v>1557</v>
      </c>
      <c r="O7" s="2"/>
    </row>
    <row r="8" spans="1:15" x14ac:dyDescent="0.3">
      <c r="B8" s="3" t="s">
        <v>776</v>
      </c>
      <c r="C8" s="3" t="s">
        <v>777</v>
      </c>
      <c r="D8" s="3" t="s">
        <v>778</v>
      </c>
      <c r="E8" s="3" t="s">
        <v>778</v>
      </c>
      <c r="F8" s="3" t="s">
        <v>779</v>
      </c>
      <c r="G8" s="3" t="s">
        <v>371</v>
      </c>
      <c r="H8" s="3" t="s">
        <v>372</v>
      </c>
      <c r="I8" s="3" t="s">
        <v>373</v>
      </c>
      <c r="J8" s="3" t="s">
        <v>1560</v>
      </c>
      <c r="K8" s="3"/>
      <c r="L8" s="3"/>
      <c r="M8" s="21"/>
      <c r="O8" s="80"/>
    </row>
    <row r="9" spans="1:15" x14ac:dyDescent="0.3">
      <c r="B9" s="3" t="s">
        <v>776</v>
      </c>
      <c r="C9" s="3" t="s">
        <v>777</v>
      </c>
      <c r="D9" s="3" t="s">
        <v>778</v>
      </c>
      <c r="E9" s="3" t="s">
        <v>778</v>
      </c>
      <c r="F9" s="3" t="s">
        <v>779</v>
      </c>
      <c r="G9" s="3" t="s">
        <v>371</v>
      </c>
      <c r="H9" s="3" t="s">
        <v>372</v>
      </c>
      <c r="I9" s="3" t="s">
        <v>373</v>
      </c>
      <c r="J9" s="3" t="s">
        <v>1561</v>
      </c>
      <c r="K9" s="3"/>
      <c r="L9" s="3"/>
      <c r="M9" s="21"/>
      <c r="O9" s="80"/>
    </row>
    <row r="10" spans="1:15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21"/>
      <c r="O10" s="80"/>
    </row>
    <row r="14" spans="1:15" x14ac:dyDescent="0.3">
      <c r="B14" s="20" t="s">
        <v>1558</v>
      </c>
      <c r="C14" s="34"/>
      <c r="D14" s="20" t="s">
        <v>788</v>
      </c>
      <c r="E14" s="33"/>
      <c r="F14" s="257"/>
    </row>
    <row r="15" spans="1:15" x14ac:dyDescent="0.3">
      <c r="B15" s="20"/>
      <c r="C15" s="34"/>
      <c r="D15" s="20"/>
      <c r="E15" s="33"/>
      <c r="F15" s="257"/>
    </row>
    <row r="18" spans="2:6" x14ac:dyDescent="0.3">
      <c r="B18" t="s">
        <v>1556</v>
      </c>
      <c r="D18" t="s">
        <v>873</v>
      </c>
    </row>
    <row r="19" spans="2:6" x14ac:dyDescent="0.3">
      <c r="B19" s="20"/>
      <c r="C19" s="34"/>
      <c r="D19" s="20"/>
      <c r="E19" s="33"/>
      <c r="F19" s="34"/>
    </row>
    <row r="21" spans="2:6" x14ac:dyDescent="0.3">
      <c r="B21" t="s">
        <v>170</v>
      </c>
    </row>
    <row r="22" spans="2:6" x14ac:dyDescent="0.3">
      <c r="B22" s="20"/>
      <c r="C22" s="33"/>
      <c r="D22" s="33"/>
      <c r="E22" s="33"/>
      <c r="F22" s="257"/>
    </row>
  </sheetData>
  <mergeCells count="1">
    <mergeCell ref="N6:O6"/>
  </mergeCells>
  <hyperlinks>
    <hyperlink ref="A1" location="Menu!A1" display="Menu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showGridLines="0" workbookViewId="0"/>
  </sheetViews>
  <sheetFormatPr defaultRowHeight="14.4" x14ac:dyDescent="0.3"/>
  <cols>
    <col min="2" max="2" width="12.5546875" bestFit="1" customWidth="1"/>
    <col min="3" max="3" width="16" customWidth="1"/>
    <col min="4" max="4" width="7.109375" bestFit="1" customWidth="1"/>
    <col min="5" max="5" width="10.77734375" customWidth="1"/>
    <col min="6" max="6" width="8.88671875" customWidth="1"/>
    <col min="7" max="7" width="10.44140625" style="32" bestFit="1" customWidth="1"/>
    <col min="8" max="8" width="12.33203125" bestFit="1" customWidth="1"/>
    <col min="9" max="9" width="9.77734375" bestFit="1" customWidth="1"/>
    <col min="10" max="10" width="9" bestFit="1" customWidth="1"/>
    <col min="11" max="11" width="17.33203125" bestFit="1" customWidth="1"/>
    <col min="12" max="12" width="10.88671875" bestFit="1" customWidth="1"/>
    <col min="13" max="13" width="10.88671875" customWidth="1"/>
    <col min="14" max="14" width="14.33203125" bestFit="1" customWidth="1"/>
    <col min="15" max="15" width="7.77734375" customWidth="1"/>
    <col min="16" max="16" width="11.44140625" bestFit="1" customWidth="1"/>
  </cols>
  <sheetData>
    <row r="1" spans="1:17" x14ac:dyDescent="0.3">
      <c r="A1" s="2" t="s">
        <v>119</v>
      </c>
    </row>
    <row r="2" spans="1:17" x14ac:dyDescent="0.3">
      <c r="J2" s="21"/>
      <c r="K2" s="21"/>
      <c r="L2" s="21"/>
      <c r="M2" s="21"/>
      <c r="N2" s="21"/>
    </row>
    <row r="3" spans="1:17" x14ac:dyDescent="0.3">
      <c r="B3" s="41"/>
      <c r="C3" s="41"/>
      <c r="D3" s="41"/>
      <c r="E3" s="41"/>
      <c r="F3" s="41"/>
      <c r="G3" s="41"/>
      <c r="H3" s="41"/>
      <c r="I3" s="41"/>
      <c r="J3" s="41"/>
      <c r="K3" s="41" t="s">
        <v>829</v>
      </c>
      <c r="L3" s="41"/>
      <c r="M3" s="41"/>
      <c r="N3" s="41"/>
      <c r="O3" s="42"/>
    </row>
    <row r="4" spans="1:17" x14ac:dyDescent="0.3">
      <c r="G4"/>
    </row>
    <row r="5" spans="1:17" x14ac:dyDescent="0.3">
      <c r="G5"/>
      <c r="N5" s="3" t="s">
        <v>55</v>
      </c>
      <c r="O5" s="20"/>
    </row>
    <row r="6" spans="1:17" x14ac:dyDescent="0.3">
      <c r="B6" s="6" t="s">
        <v>565</v>
      </c>
      <c r="C6" s="6" t="s">
        <v>629</v>
      </c>
      <c r="D6" s="6" t="s">
        <v>784</v>
      </c>
      <c r="E6" s="6" t="s">
        <v>92</v>
      </c>
      <c r="F6" s="6" t="s">
        <v>634</v>
      </c>
      <c r="G6" s="6" t="s">
        <v>115</v>
      </c>
      <c r="H6" s="6" t="s">
        <v>114</v>
      </c>
      <c r="I6" s="6" t="s">
        <v>398</v>
      </c>
      <c r="J6" s="6" t="s">
        <v>399</v>
      </c>
      <c r="K6" s="6" t="s">
        <v>116</v>
      </c>
      <c r="L6" s="6" t="s">
        <v>36</v>
      </c>
      <c r="M6" s="6" t="s">
        <v>830</v>
      </c>
      <c r="N6" s="357" t="s">
        <v>118</v>
      </c>
      <c r="O6" s="358"/>
    </row>
    <row r="7" spans="1:17" x14ac:dyDescent="0.3">
      <c r="B7" s="3" t="s">
        <v>776</v>
      </c>
      <c r="C7" s="3" t="s">
        <v>777</v>
      </c>
      <c r="D7" s="3"/>
      <c r="E7" s="3" t="s">
        <v>778</v>
      </c>
      <c r="F7" s="3" t="s">
        <v>778</v>
      </c>
      <c r="G7" s="3" t="s">
        <v>779</v>
      </c>
      <c r="H7" s="3" t="s">
        <v>371</v>
      </c>
      <c r="I7" s="3" t="s">
        <v>372</v>
      </c>
      <c r="J7" s="3" t="s">
        <v>373</v>
      </c>
      <c r="K7" s="3" t="s">
        <v>393</v>
      </c>
      <c r="L7" s="3" t="s">
        <v>780</v>
      </c>
      <c r="M7" s="118"/>
      <c r="N7" s="2" t="s">
        <v>908</v>
      </c>
      <c r="O7" s="2"/>
    </row>
    <row r="8" spans="1:17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80"/>
    </row>
    <row r="9" spans="1:17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80"/>
    </row>
    <row r="10" spans="1:17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80"/>
    </row>
    <row r="12" spans="1:17" x14ac:dyDescent="0.3">
      <c r="B12" s="240" t="s">
        <v>36</v>
      </c>
      <c r="C12" s="3" t="s">
        <v>780</v>
      </c>
    </row>
    <row r="13" spans="1:17" x14ac:dyDescent="0.3">
      <c r="B13" s="240" t="s">
        <v>832</v>
      </c>
      <c r="C13" s="3" t="s">
        <v>540</v>
      </c>
    </row>
    <row r="14" spans="1:17" x14ac:dyDescent="0.3">
      <c r="B14" s="6" t="s">
        <v>831</v>
      </c>
      <c r="C14" s="3"/>
      <c r="D14" s="6" t="s">
        <v>34</v>
      </c>
      <c r="E14" s="3"/>
      <c r="F14" s="6" t="s">
        <v>35</v>
      </c>
      <c r="G14" s="132"/>
      <c r="H14" s="6" t="s">
        <v>487</v>
      </c>
      <c r="I14" s="3"/>
      <c r="J14" s="6" t="s">
        <v>488</v>
      </c>
      <c r="K14" s="3"/>
      <c r="M14" t="s">
        <v>833</v>
      </c>
      <c r="Q14" t="s">
        <v>909</v>
      </c>
    </row>
    <row r="15" spans="1:17" x14ac:dyDescent="0.3">
      <c r="M15" t="s">
        <v>834</v>
      </c>
    </row>
    <row r="16" spans="1:17" x14ac:dyDescent="0.3">
      <c r="B16" s="14" t="s">
        <v>835</v>
      </c>
      <c r="C16" s="14"/>
      <c r="D16" s="14"/>
      <c r="E16" s="14"/>
      <c r="F16" s="14"/>
      <c r="G16" s="14"/>
      <c r="H16" s="14"/>
    </row>
    <row r="17" spans="2:17" ht="28.8" x14ac:dyDescent="0.3">
      <c r="B17" s="185" t="s">
        <v>544</v>
      </c>
      <c r="C17" s="185" t="s">
        <v>545</v>
      </c>
      <c r="D17" s="185" t="s">
        <v>546</v>
      </c>
      <c r="E17" s="185" t="s">
        <v>547</v>
      </c>
      <c r="F17" s="185" t="s">
        <v>548</v>
      </c>
      <c r="G17" s="186" t="s">
        <v>558</v>
      </c>
      <c r="H17" s="186" t="s">
        <v>559</v>
      </c>
      <c r="I17" s="185" t="s">
        <v>552</v>
      </c>
      <c r="J17" s="185" t="s">
        <v>553</v>
      </c>
      <c r="K17" s="185" t="s">
        <v>554</v>
      </c>
      <c r="L17" s="186" t="s">
        <v>560</v>
      </c>
      <c r="M17" s="241" t="s">
        <v>836</v>
      </c>
      <c r="N17" s="241" t="s">
        <v>837</v>
      </c>
      <c r="O17" s="241" t="s">
        <v>645</v>
      </c>
      <c r="P17" s="241" t="s">
        <v>838</v>
      </c>
      <c r="Q17" s="241" t="s">
        <v>839</v>
      </c>
    </row>
    <row r="18" spans="2:17" x14ac:dyDescent="0.3">
      <c r="B18" s="128" t="s">
        <v>750</v>
      </c>
      <c r="C18" s="242" t="s">
        <v>754</v>
      </c>
      <c r="D18" s="128"/>
      <c r="E18" s="128">
        <v>500</v>
      </c>
      <c r="F18" s="128">
        <v>2000</v>
      </c>
      <c r="G18" s="128">
        <v>5000</v>
      </c>
      <c r="H18" s="128">
        <v>5500</v>
      </c>
      <c r="I18" s="128"/>
      <c r="J18" s="128"/>
      <c r="K18" s="128"/>
      <c r="L18" s="128">
        <v>15</v>
      </c>
      <c r="M18" s="370"/>
      <c r="N18" s="370"/>
      <c r="O18" s="370"/>
      <c r="P18" s="359" t="s">
        <v>840</v>
      </c>
      <c r="Q18" s="359" t="s">
        <v>845</v>
      </c>
    </row>
    <row r="19" spans="2:17" x14ac:dyDescent="0.3">
      <c r="B19" s="128" t="s">
        <v>751</v>
      </c>
      <c r="C19" s="128" t="s">
        <v>755</v>
      </c>
      <c r="D19" s="128"/>
      <c r="E19" s="128">
        <v>200</v>
      </c>
      <c r="F19" s="242">
        <v>3000</v>
      </c>
      <c r="G19" s="128">
        <v>3500</v>
      </c>
      <c r="H19" s="128">
        <v>3700</v>
      </c>
      <c r="I19" s="128"/>
      <c r="J19" s="128"/>
      <c r="K19" s="128"/>
      <c r="L19" s="128">
        <v>5</v>
      </c>
      <c r="M19" s="370"/>
      <c r="N19" s="370"/>
      <c r="O19" s="370"/>
      <c r="P19" s="359"/>
      <c r="Q19" s="359"/>
    </row>
    <row r="20" spans="2:17" x14ac:dyDescent="0.3">
      <c r="B20" s="128" t="s">
        <v>752</v>
      </c>
      <c r="C20" s="128" t="s">
        <v>756</v>
      </c>
      <c r="D20" s="128"/>
      <c r="E20" s="128">
        <v>80</v>
      </c>
      <c r="F20" s="128">
        <v>6000</v>
      </c>
      <c r="G20" s="128">
        <v>2800</v>
      </c>
      <c r="H20" s="128">
        <v>2900</v>
      </c>
      <c r="I20" s="128"/>
      <c r="J20" s="128"/>
      <c r="K20" s="128"/>
      <c r="L20" s="128">
        <v>8</v>
      </c>
      <c r="M20" s="370"/>
      <c r="N20" s="370"/>
      <c r="O20" s="370"/>
      <c r="P20" s="359"/>
      <c r="Q20" s="359"/>
    </row>
    <row r="21" spans="2:17" x14ac:dyDescent="0.3">
      <c r="B21" s="68" t="s">
        <v>796</v>
      </c>
      <c r="C21" s="68"/>
      <c r="D21" s="68"/>
      <c r="E21" s="68">
        <f>SUM(E18:E20)</f>
        <v>780</v>
      </c>
      <c r="F21" s="68">
        <f>SUM(F18:F20)</f>
        <v>11000</v>
      </c>
      <c r="G21" s="68">
        <f t="shared" ref="G21:H21" si="0">SUM(G18:G20)</f>
        <v>11300</v>
      </c>
      <c r="H21" s="68">
        <f t="shared" si="0"/>
        <v>12100</v>
      </c>
      <c r="I21" s="68"/>
      <c r="J21" s="68"/>
      <c r="K21" s="68"/>
      <c r="L21" s="68">
        <f>SUM(L18:L20)</f>
        <v>28</v>
      </c>
    </row>
    <row r="22" spans="2:17" x14ac:dyDescent="0.3">
      <c r="G22"/>
    </row>
    <row r="23" spans="2:17" x14ac:dyDescent="0.3">
      <c r="B23" s="20"/>
      <c r="C23" s="33"/>
      <c r="D23" s="34"/>
      <c r="G23"/>
    </row>
    <row r="24" spans="2:17" x14ac:dyDescent="0.3">
      <c r="B24" t="s">
        <v>844</v>
      </c>
      <c r="G24"/>
    </row>
    <row r="25" spans="2:17" x14ac:dyDescent="0.3">
      <c r="G25"/>
    </row>
    <row r="26" spans="2:17" x14ac:dyDescent="0.3">
      <c r="B26" s="243" t="s">
        <v>841</v>
      </c>
      <c r="C26" s="244" t="s">
        <v>842</v>
      </c>
      <c r="D26" s="181" t="s">
        <v>843</v>
      </c>
      <c r="E26" s="14"/>
      <c r="F26" s="14"/>
      <c r="G26" s="14"/>
      <c r="H26" s="60"/>
    </row>
    <row r="27" spans="2:17" x14ac:dyDescent="0.3">
      <c r="C27" s="32"/>
      <c r="D27" s="32"/>
      <c r="E27" s="14"/>
      <c r="F27" s="14"/>
      <c r="G27" s="37"/>
      <c r="H27" s="60"/>
    </row>
    <row r="28" spans="2:17" x14ac:dyDescent="0.3">
      <c r="C28" s="32"/>
      <c r="D28" s="32"/>
      <c r="E28" s="14"/>
      <c r="F28" s="14"/>
      <c r="G28" s="37"/>
      <c r="H28" s="60"/>
    </row>
    <row r="29" spans="2:17" x14ac:dyDescent="0.3">
      <c r="B29" t="s">
        <v>910</v>
      </c>
      <c r="C29" s="37"/>
      <c r="D29" s="37"/>
      <c r="E29" s="14"/>
      <c r="F29" s="14"/>
      <c r="G29" s="37"/>
      <c r="H29" s="60"/>
    </row>
    <row r="30" spans="2:17" x14ac:dyDescent="0.3">
      <c r="C30" s="37"/>
      <c r="D30" s="37"/>
      <c r="E30" s="14"/>
      <c r="F30" s="14"/>
      <c r="G30" s="37"/>
      <c r="H30" s="60"/>
    </row>
    <row r="31" spans="2:17" x14ac:dyDescent="0.3">
      <c r="C31" s="37"/>
      <c r="D31" s="37"/>
      <c r="E31" s="14"/>
      <c r="F31" s="14"/>
      <c r="G31" s="37"/>
      <c r="H31" s="60"/>
    </row>
    <row r="32" spans="2:17" x14ac:dyDescent="0.3">
      <c r="E32" s="14"/>
      <c r="F32" s="14"/>
      <c r="G32" s="37"/>
      <c r="H32" s="60"/>
    </row>
    <row r="33" spans="5:8" x14ac:dyDescent="0.3">
      <c r="E33" s="14"/>
      <c r="F33" s="14"/>
      <c r="G33" s="14"/>
      <c r="H33" s="60"/>
    </row>
    <row r="34" spans="5:8" x14ac:dyDescent="0.3">
      <c r="E34" s="14"/>
      <c r="F34" s="14"/>
      <c r="G34" s="37"/>
      <c r="H34" s="60"/>
    </row>
  </sheetData>
  <mergeCells count="6">
    <mergeCell ref="Q18:Q20"/>
    <mergeCell ref="N6:O6"/>
    <mergeCell ref="M18:M20"/>
    <mergeCell ref="N18:N20"/>
    <mergeCell ref="O18:O20"/>
    <mergeCell ref="P18:P20"/>
  </mergeCells>
  <hyperlinks>
    <hyperlink ref="A1" location="Menu!A1" display="Menu"/>
  </hyperlink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showGridLines="0" workbookViewId="0">
      <selection activeCell="K7" sqref="K7"/>
    </sheetView>
  </sheetViews>
  <sheetFormatPr defaultRowHeight="14.4" x14ac:dyDescent="0.3"/>
  <cols>
    <col min="2" max="2" width="12.5546875" bestFit="1" customWidth="1"/>
    <col min="3" max="3" width="16" customWidth="1"/>
    <col min="4" max="4" width="15.88671875" bestFit="1" customWidth="1"/>
    <col min="5" max="5" width="10.77734375" customWidth="1"/>
    <col min="6" max="6" width="8.88671875" customWidth="1"/>
    <col min="7" max="7" width="10.44140625" style="32" bestFit="1" customWidth="1"/>
    <col min="8" max="8" width="17.44140625" bestFit="1" customWidth="1"/>
    <col min="9" max="9" width="9.77734375" bestFit="1" customWidth="1"/>
    <col min="10" max="10" width="16.88671875" bestFit="1" customWidth="1"/>
    <col min="11" max="11" width="17.33203125" bestFit="1" customWidth="1"/>
    <col min="12" max="12" width="10.88671875" bestFit="1" customWidth="1"/>
    <col min="13" max="13" width="10.88671875" customWidth="1"/>
    <col min="14" max="14" width="14.33203125" bestFit="1" customWidth="1"/>
    <col min="15" max="15" width="7.77734375" customWidth="1"/>
    <col min="16" max="16" width="11.44140625" bestFit="1" customWidth="1"/>
  </cols>
  <sheetData>
    <row r="1" spans="1:15" x14ac:dyDescent="0.3">
      <c r="A1" s="2" t="s">
        <v>119</v>
      </c>
    </row>
    <row r="2" spans="1:15" x14ac:dyDescent="0.3">
      <c r="J2" s="21"/>
      <c r="K2" s="21"/>
      <c r="L2" s="21"/>
      <c r="M2" s="21"/>
      <c r="N2" s="21"/>
    </row>
    <row r="3" spans="1:15" x14ac:dyDescent="0.3">
      <c r="B3" s="41"/>
      <c r="C3" s="41"/>
      <c r="D3" s="41"/>
      <c r="E3" s="41"/>
      <c r="F3" s="41"/>
      <c r="G3" s="41"/>
      <c r="H3" s="41"/>
      <c r="I3" s="41"/>
      <c r="J3" s="41"/>
      <c r="K3" s="41" t="s">
        <v>876</v>
      </c>
      <c r="L3" s="41"/>
      <c r="M3" s="41"/>
      <c r="N3" s="41"/>
      <c r="O3" s="42"/>
    </row>
    <row r="4" spans="1:15" x14ac:dyDescent="0.3">
      <c r="G4"/>
    </row>
    <row r="5" spans="1:15" x14ac:dyDescent="0.3">
      <c r="G5"/>
      <c r="N5" s="3" t="s">
        <v>55</v>
      </c>
      <c r="O5" s="20"/>
    </row>
    <row r="6" spans="1:15" x14ac:dyDescent="0.3">
      <c r="B6" s="6" t="s">
        <v>565</v>
      </c>
      <c r="C6" s="6" t="s">
        <v>629</v>
      </c>
      <c r="D6" s="6" t="s">
        <v>92</v>
      </c>
      <c r="E6" s="6" t="s">
        <v>634</v>
      </c>
      <c r="F6" s="6" t="s">
        <v>115</v>
      </c>
      <c r="G6" s="6" t="s">
        <v>114</v>
      </c>
      <c r="H6" s="6" t="s">
        <v>46</v>
      </c>
      <c r="I6" s="6" t="s">
        <v>47</v>
      </c>
      <c r="J6" s="6" t="s">
        <v>873</v>
      </c>
      <c r="K6" s="6" t="s">
        <v>48</v>
      </c>
      <c r="L6" s="6" t="s">
        <v>830</v>
      </c>
      <c r="M6" s="232" t="s">
        <v>118</v>
      </c>
      <c r="N6" s="233"/>
    </row>
    <row r="7" spans="1:15" x14ac:dyDescent="0.3">
      <c r="B7" s="3" t="s">
        <v>776</v>
      </c>
      <c r="C7" s="3" t="s">
        <v>777</v>
      </c>
      <c r="D7" s="3" t="s">
        <v>778</v>
      </c>
      <c r="E7" s="3" t="s">
        <v>778</v>
      </c>
      <c r="F7" s="3" t="s">
        <v>779</v>
      </c>
      <c r="G7" s="3" t="s">
        <v>98</v>
      </c>
      <c r="H7" s="3" t="s">
        <v>372</v>
      </c>
      <c r="I7" s="3" t="s">
        <v>373</v>
      </c>
      <c r="J7" s="3" t="s">
        <v>874</v>
      </c>
      <c r="K7" s="3" t="s">
        <v>875</v>
      </c>
      <c r="L7" s="118"/>
      <c r="M7" s="2" t="s">
        <v>908</v>
      </c>
      <c r="N7" s="2"/>
    </row>
    <row r="8" spans="1:15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80"/>
    </row>
    <row r="9" spans="1:15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N9" s="80"/>
    </row>
    <row r="10" spans="1:15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N10" s="80"/>
    </row>
    <row r="12" spans="1:15" x14ac:dyDescent="0.3">
      <c r="B12" s="240" t="s">
        <v>865</v>
      </c>
      <c r="C12" s="3" t="s">
        <v>869</v>
      </c>
    </row>
    <row r="13" spans="1:15" x14ac:dyDescent="0.3">
      <c r="B13" s="240" t="s">
        <v>832</v>
      </c>
      <c r="C13" s="3" t="s">
        <v>540</v>
      </c>
    </row>
    <row r="14" spans="1:15" x14ac:dyDescent="0.3">
      <c r="B14" s="6" t="s">
        <v>870</v>
      </c>
      <c r="C14" s="3"/>
      <c r="D14" s="6" t="s">
        <v>46</v>
      </c>
      <c r="E14" s="3"/>
      <c r="F14" s="6" t="s">
        <v>47</v>
      </c>
      <c r="G14" s="132"/>
      <c r="H14" s="6" t="s">
        <v>871</v>
      </c>
      <c r="I14" s="3"/>
      <c r="J14" s="6" t="s">
        <v>872</v>
      </c>
      <c r="K14" s="3"/>
      <c r="M14" t="s">
        <v>833</v>
      </c>
    </row>
    <row r="15" spans="1:15" x14ac:dyDescent="0.3">
      <c r="M15" t="s">
        <v>834</v>
      </c>
    </row>
    <row r="16" spans="1:15" x14ac:dyDescent="0.3">
      <c r="B16" s="14" t="s">
        <v>835</v>
      </c>
      <c r="C16" s="14"/>
      <c r="D16" s="14"/>
      <c r="E16" s="14"/>
      <c r="F16" s="14"/>
      <c r="G16" s="14"/>
      <c r="H16" s="14"/>
    </row>
    <row r="17" spans="2:18" ht="28.8" x14ac:dyDescent="0.3">
      <c r="B17" s="185" t="s">
        <v>544</v>
      </c>
      <c r="C17" s="185" t="s">
        <v>545</v>
      </c>
      <c r="D17" s="185" t="s">
        <v>546</v>
      </c>
      <c r="E17" s="185" t="s">
        <v>547</v>
      </c>
      <c r="F17" s="185" t="s">
        <v>548</v>
      </c>
      <c r="G17" s="186" t="s">
        <v>558</v>
      </c>
      <c r="H17" s="186" t="s">
        <v>559</v>
      </c>
      <c r="I17" s="185" t="s">
        <v>552</v>
      </c>
      <c r="J17" s="185" t="s">
        <v>553</v>
      </c>
      <c r="K17" s="185" t="s">
        <v>554</v>
      </c>
      <c r="L17" s="186" t="s">
        <v>560</v>
      </c>
      <c r="M17" s="253" t="s">
        <v>866</v>
      </c>
      <c r="N17" s="241" t="s">
        <v>836</v>
      </c>
      <c r="O17" s="253" t="s">
        <v>837</v>
      </c>
      <c r="P17" s="241" t="s">
        <v>645</v>
      </c>
      <c r="Q17" s="241" t="s">
        <v>867</v>
      </c>
      <c r="R17" s="241" t="s">
        <v>868</v>
      </c>
    </row>
    <row r="18" spans="2:18" x14ac:dyDescent="0.3">
      <c r="B18" s="128" t="s">
        <v>750</v>
      </c>
      <c r="C18" s="242" t="s">
        <v>754</v>
      </c>
      <c r="D18" s="128"/>
      <c r="E18" s="128">
        <v>500</v>
      </c>
      <c r="F18" s="128">
        <v>2000</v>
      </c>
      <c r="G18" s="128">
        <v>5000</v>
      </c>
      <c r="H18" s="128">
        <v>5500</v>
      </c>
      <c r="I18" s="128"/>
      <c r="J18" s="128"/>
      <c r="K18" s="128"/>
      <c r="L18" s="128">
        <v>15</v>
      </c>
      <c r="M18" s="3"/>
      <c r="N18" s="352"/>
      <c r="O18" s="353"/>
      <c r="P18" s="353"/>
      <c r="Q18" s="234" t="s">
        <v>840</v>
      </c>
      <c r="R18" s="234" t="s">
        <v>845</v>
      </c>
    </row>
    <row r="19" spans="2:18" x14ac:dyDescent="0.3">
      <c r="B19" s="128" t="s">
        <v>751</v>
      </c>
      <c r="C19" s="128" t="s">
        <v>755</v>
      </c>
      <c r="D19" s="128"/>
      <c r="E19" s="128">
        <v>200</v>
      </c>
      <c r="F19" s="242">
        <v>3000</v>
      </c>
      <c r="G19" s="128">
        <v>3500</v>
      </c>
      <c r="H19" s="128">
        <v>3700</v>
      </c>
      <c r="I19" s="128"/>
      <c r="J19" s="128"/>
      <c r="K19" s="128"/>
      <c r="L19" s="128">
        <v>5</v>
      </c>
      <c r="M19" s="3"/>
      <c r="N19" s="352"/>
      <c r="O19" s="371"/>
      <c r="P19" s="371"/>
      <c r="Q19" s="234"/>
      <c r="R19" s="234"/>
    </row>
    <row r="20" spans="2:18" x14ac:dyDescent="0.3">
      <c r="B20" s="128" t="s">
        <v>752</v>
      </c>
      <c r="C20" s="128" t="s">
        <v>756</v>
      </c>
      <c r="D20" s="128"/>
      <c r="E20" s="128">
        <v>80</v>
      </c>
      <c r="F20" s="128">
        <v>6000</v>
      </c>
      <c r="G20" s="128">
        <v>2800</v>
      </c>
      <c r="H20" s="128">
        <v>2900</v>
      </c>
      <c r="I20" s="128"/>
      <c r="J20" s="128"/>
      <c r="K20" s="128"/>
      <c r="L20" s="128">
        <v>8</v>
      </c>
      <c r="M20" s="3"/>
      <c r="N20" s="352"/>
      <c r="O20" s="354"/>
      <c r="P20" s="354"/>
      <c r="Q20" s="234"/>
      <c r="R20" s="234"/>
    </row>
    <row r="21" spans="2:18" x14ac:dyDescent="0.3">
      <c r="B21" s="68" t="s">
        <v>796</v>
      </c>
      <c r="C21" s="68"/>
      <c r="D21" s="68"/>
      <c r="E21" s="68">
        <f>SUM(E18:E20)</f>
        <v>780</v>
      </c>
      <c r="F21" s="68">
        <f>SUM(F18:F20)</f>
        <v>11000</v>
      </c>
      <c r="G21" s="68">
        <f t="shared" ref="G21:H21" si="0">SUM(G18:G20)</f>
        <v>11300</v>
      </c>
      <c r="H21" s="68">
        <f t="shared" si="0"/>
        <v>12100</v>
      </c>
      <c r="I21" s="68"/>
      <c r="J21" s="68"/>
      <c r="K21" s="68"/>
      <c r="L21" s="68">
        <f>SUM(L18:L20)</f>
        <v>28</v>
      </c>
    </row>
    <row r="22" spans="2:18" x14ac:dyDescent="0.3">
      <c r="G22"/>
    </row>
    <row r="23" spans="2:18" x14ac:dyDescent="0.3">
      <c r="B23" s="20"/>
      <c r="C23" s="33"/>
      <c r="D23" s="34"/>
      <c r="G23"/>
    </row>
    <row r="24" spans="2:18" x14ac:dyDescent="0.3">
      <c r="B24" t="s">
        <v>844</v>
      </c>
      <c r="G24"/>
    </row>
    <row r="25" spans="2:18" x14ac:dyDescent="0.3">
      <c r="G25"/>
    </row>
    <row r="26" spans="2:18" x14ac:dyDescent="0.3">
      <c r="B26" s="243" t="s">
        <v>841</v>
      </c>
      <c r="C26" s="244" t="s">
        <v>842</v>
      </c>
      <c r="D26" s="181" t="s">
        <v>843</v>
      </c>
      <c r="E26" s="14"/>
      <c r="F26" s="14"/>
      <c r="G26" s="14"/>
      <c r="H26" s="60"/>
    </row>
    <row r="27" spans="2:18" x14ac:dyDescent="0.3">
      <c r="C27" s="32"/>
      <c r="D27" s="32"/>
      <c r="E27" s="14"/>
      <c r="F27" s="14"/>
      <c r="G27" s="37"/>
      <c r="H27" s="60"/>
    </row>
    <row r="28" spans="2:18" x14ac:dyDescent="0.3">
      <c r="C28" s="32"/>
      <c r="D28" s="32"/>
      <c r="E28" s="14"/>
      <c r="F28" s="14"/>
      <c r="G28" s="37"/>
      <c r="H28" s="60"/>
    </row>
    <row r="29" spans="2:18" x14ac:dyDescent="0.3">
      <c r="C29" s="37"/>
      <c r="D29" s="37"/>
      <c r="E29" s="14"/>
      <c r="F29" s="14"/>
      <c r="G29" s="37"/>
      <c r="H29" s="60"/>
    </row>
    <row r="30" spans="2:18" x14ac:dyDescent="0.3">
      <c r="C30" s="37"/>
      <c r="D30" s="37"/>
      <c r="E30" s="14"/>
      <c r="F30" s="14"/>
      <c r="G30" s="37"/>
      <c r="H30" s="60"/>
    </row>
    <row r="31" spans="2:18" x14ac:dyDescent="0.3">
      <c r="C31" s="37"/>
      <c r="D31" s="37"/>
      <c r="E31" s="14"/>
      <c r="F31" s="14"/>
      <c r="G31" s="37"/>
      <c r="H31" s="60"/>
    </row>
    <row r="32" spans="2:18" x14ac:dyDescent="0.3">
      <c r="E32" s="14"/>
      <c r="F32" s="14"/>
      <c r="G32" s="37"/>
      <c r="H32" s="60"/>
    </row>
    <row r="33" spans="5:8" x14ac:dyDescent="0.3">
      <c r="E33" s="14"/>
      <c r="F33" s="14"/>
      <c r="G33" s="14"/>
      <c r="H33" s="60"/>
    </row>
    <row r="34" spans="5:8" x14ac:dyDescent="0.3">
      <c r="E34" s="14"/>
      <c r="F34" s="14"/>
      <c r="G34" s="37"/>
      <c r="H34" s="60"/>
    </row>
  </sheetData>
  <mergeCells count="3">
    <mergeCell ref="P18:P20"/>
    <mergeCell ref="N18:N20"/>
    <mergeCell ref="O18:O20"/>
  </mergeCells>
  <hyperlinks>
    <hyperlink ref="A1" location="Menu!A1" display="Menu"/>
  </hyperlink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showGridLines="0" workbookViewId="0"/>
  </sheetViews>
  <sheetFormatPr defaultRowHeight="14.4" x14ac:dyDescent="0.3"/>
  <cols>
    <col min="2" max="2" width="12.5546875" bestFit="1" customWidth="1"/>
    <col min="3" max="3" width="12.5546875" customWidth="1"/>
    <col min="4" max="4" width="16" customWidth="1"/>
    <col min="5" max="5" width="10.77734375" customWidth="1"/>
    <col min="6" max="6" width="8.88671875" customWidth="1"/>
    <col min="7" max="7" width="12.88671875" bestFit="1" customWidth="1"/>
    <col min="8" max="8" width="9.77734375" bestFit="1" customWidth="1"/>
    <col min="9" max="9" width="9" bestFit="1" customWidth="1"/>
    <col min="10" max="10" width="9" customWidth="1"/>
    <col min="11" max="11" width="17.33203125" bestFit="1" customWidth="1"/>
    <col min="12" max="12" width="10.88671875" bestFit="1" customWidth="1"/>
    <col min="13" max="14" width="10.88671875" customWidth="1"/>
    <col min="15" max="15" width="14.33203125" bestFit="1" customWidth="1"/>
    <col min="16" max="16" width="11.44140625" bestFit="1" customWidth="1"/>
  </cols>
  <sheetData>
    <row r="1" spans="1:15" x14ac:dyDescent="0.3">
      <c r="A1" s="2" t="s">
        <v>119</v>
      </c>
    </row>
    <row r="2" spans="1:15" x14ac:dyDescent="0.3">
      <c r="I2" s="21"/>
      <c r="J2" s="21"/>
      <c r="K2" s="21"/>
      <c r="L2" s="21"/>
      <c r="M2" s="21"/>
      <c r="N2" s="21"/>
      <c r="O2" s="21"/>
    </row>
    <row r="3" spans="1:15" x14ac:dyDescent="0.3">
      <c r="B3" s="41"/>
      <c r="C3" s="41"/>
      <c r="D3" s="41"/>
      <c r="E3" s="41" t="s">
        <v>1370</v>
      </c>
      <c r="F3" s="41"/>
      <c r="G3" s="41"/>
      <c r="H3" s="41"/>
      <c r="I3" s="41"/>
      <c r="J3" s="41"/>
      <c r="K3" s="41"/>
      <c r="L3" s="41"/>
      <c r="M3" s="41"/>
      <c r="N3" s="41"/>
      <c r="O3" s="41"/>
    </row>
    <row r="6" spans="1:15" x14ac:dyDescent="0.3">
      <c r="B6" s="2" t="s">
        <v>1364</v>
      </c>
      <c r="D6" s="2" t="s">
        <v>1365</v>
      </c>
      <c r="F6" s="2" t="s">
        <v>1371</v>
      </c>
      <c r="I6" s="2" t="s">
        <v>1372</v>
      </c>
      <c r="L6" s="2" t="s">
        <v>1373</v>
      </c>
      <c r="N6" s="2" t="s">
        <v>1374</v>
      </c>
    </row>
  </sheetData>
  <hyperlinks>
    <hyperlink ref="A1" location="Menu!A1" display="Menu"/>
    <hyperlink ref="B6" location="'Onboard confirmation-Sea'!A1" display="On board confirmation-Sea"/>
    <hyperlink ref="D6" location="'Onboard confirmation-Air'!A1" display="On board confirmation-Air"/>
    <hyperlink ref="F6" location="'Trasnshipment con-sea'!A1" display="Transshipment Confirmaiton -Sea"/>
    <hyperlink ref="I6" location="'Trasnshipment con-air'!A1" display="Transshipment Confirmaiton -Air"/>
    <hyperlink ref="N6" location="'Arrival-Air'!A1" display="Arrival -Air"/>
    <hyperlink ref="L6" location="'Arrival-Sea'!A1" display="Arrival -Sea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0"/>
  <sheetViews>
    <sheetView showGridLines="0" workbookViewId="0">
      <selection activeCell="M6" sqref="M6"/>
    </sheetView>
  </sheetViews>
  <sheetFormatPr defaultRowHeight="14.4" x14ac:dyDescent="0.3"/>
  <cols>
    <col min="2" max="2" width="12.5546875" bestFit="1" customWidth="1"/>
    <col min="3" max="3" width="12.5546875" customWidth="1"/>
    <col min="4" max="4" width="16" customWidth="1"/>
    <col min="5" max="5" width="10.77734375" customWidth="1"/>
    <col min="6" max="6" width="8.88671875" customWidth="1"/>
    <col min="7" max="7" width="12.88671875" bestFit="1" customWidth="1"/>
    <col min="8" max="8" width="9.77734375" bestFit="1" customWidth="1"/>
    <col min="9" max="9" width="9" bestFit="1" customWidth="1"/>
    <col min="10" max="10" width="9" customWidth="1"/>
    <col min="11" max="11" width="17.33203125" bestFit="1" customWidth="1"/>
    <col min="12" max="12" width="10.88671875" bestFit="1" customWidth="1"/>
    <col min="13" max="14" width="10.88671875" customWidth="1"/>
    <col min="15" max="15" width="14.33203125" bestFit="1" customWidth="1"/>
    <col min="16" max="16" width="11.44140625" bestFit="1" customWidth="1"/>
  </cols>
  <sheetData>
    <row r="1" spans="1:16" x14ac:dyDescent="0.3">
      <c r="A1" s="2" t="s">
        <v>119</v>
      </c>
    </row>
    <row r="2" spans="1:16" x14ac:dyDescent="0.3">
      <c r="I2" s="21"/>
      <c r="J2" s="21"/>
      <c r="K2" s="21"/>
      <c r="L2" s="21"/>
      <c r="M2" s="21"/>
      <c r="N2" s="21"/>
      <c r="O2" s="21"/>
    </row>
    <row r="3" spans="1:16" x14ac:dyDescent="0.3">
      <c r="B3" s="41"/>
      <c r="C3" s="41"/>
      <c r="D3" s="41"/>
      <c r="E3" s="41"/>
      <c r="F3" s="41"/>
      <c r="G3" s="41"/>
      <c r="H3" s="41"/>
      <c r="I3" s="41"/>
      <c r="J3" s="41"/>
      <c r="K3" s="41" t="s">
        <v>1364</v>
      </c>
      <c r="L3" s="41"/>
      <c r="M3" s="41"/>
      <c r="N3" s="41"/>
      <c r="O3" s="41"/>
    </row>
    <row r="5" spans="1:16" x14ac:dyDescent="0.3">
      <c r="O5" s="3" t="s">
        <v>55</v>
      </c>
    </row>
    <row r="6" spans="1:16" x14ac:dyDescent="0.3">
      <c r="B6" s="6" t="s">
        <v>1354</v>
      </c>
      <c r="C6" s="6" t="s">
        <v>565</v>
      </c>
      <c r="D6" s="6" t="s">
        <v>629</v>
      </c>
      <c r="E6" s="6" t="s">
        <v>92</v>
      </c>
      <c r="F6" s="6" t="s">
        <v>634</v>
      </c>
      <c r="G6" s="6" t="s">
        <v>114</v>
      </c>
      <c r="H6" s="6" t="s">
        <v>34</v>
      </c>
      <c r="I6" s="6" t="s">
        <v>35</v>
      </c>
      <c r="J6" s="6" t="s">
        <v>36</v>
      </c>
      <c r="K6" s="6" t="s">
        <v>788</v>
      </c>
      <c r="L6" s="6" t="s">
        <v>1355</v>
      </c>
      <c r="M6" s="6" t="s">
        <v>1356</v>
      </c>
      <c r="N6" s="90" t="s">
        <v>487</v>
      </c>
      <c r="O6" s="372" t="s">
        <v>118</v>
      </c>
      <c r="P6" s="373"/>
    </row>
    <row r="7" spans="1:16" x14ac:dyDescent="0.3">
      <c r="B7" s="3" t="s">
        <v>776</v>
      </c>
      <c r="C7" s="3"/>
      <c r="D7" s="3" t="s">
        <v>777</v>
      </c>
      <c r="E7" s="3" t="s">
        <v>778</v>
      </c>
      <c r="F7" s="3" t="s">
        <v>778</v>
      </c>
      <c r="G7" s="3" t="s">
        <v>371</v>
      </c>
      <c r="H7" s="3" t="s">
        <v>372</v>
      </c>
      <c r="I7" s="3" t="s">
        <v>373</v>
      </c>
      <c r="J7" s="3"/>
      <c r="K7" s="3"/>
      <c r="L7" s="3"/>
      <c r="M7" s="3"/>
      <c r="N7" s="118">
        <v>46292</v>
      </c>
      <c r="O7" s="109"/>
      <c r="P7" s="3" t="s">
        <v>106</v>
      </c>
    </row>
    <row r="8" spans="1:16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2" spans="1:16" x14ac:dyDescent="0.3">
      <c r="E12" s="14"/>
      <c r="F12" s="14"/>
      <c r="G12" s="60"/>
      <c r="O12" t="s">
        <v>1357</v>
      </c>
    </row>
    <row r="13" spans="1:16" x14ac:dyDescent="0.3">
      <c r="B13" s="2" t="s">
        <v>223</v>
      </c>
      <c r="E13" s="14"/>
      <c r="F13" s="14"/>
      <c r="G13" s="60"/>
      <c r="O13" t="s">
        <v>1358</v>
      </c>
    </row>
    <row r="15" spans="1:16" x14ac:dyDescent="0.3">
      <c r="M15" s="289" t="s">
        <v>1359</v>
      </c>
    </row>
    <row r="16" spans="1:16" x14ac:dyDescent="0.3">
      <c r="M16" s="289" t="s">
        <v>1360</v>
      </c>
    </row>
    <row r="17" spans="13:13" x14ac:dyDescent="0.3">
      <c r="M17" s="289" t="s">
        <v>1368</v>
      </c>
    </row>
    <row r="18" spans="13:13" x14ac:dyDescent="0.3">
      <c r="M18" s="289" t="s">
        <v>1361</v>
      </c>
    </row>
    <row r="19" spans="13:13" x14ac:dyDescent="0.3">
      <c r="M19" s="289" t="s">
        <v>1505</v>
      </c>
    </row>
    <row r="20" spans="13:13" x14ac:dyDescent="0.3">
      <c r="M20" s="289" t="s">
        <v>1363</v>
      </c>
    </row>
  </sheetData>
  <mergeCells count="1">
    <mergeCell ref="O6:P6"/>
  </mergeCells>
  <hyperlinks>
    <hyperlink ref="A1" location="Menu!A1" display="Menu"/>
    <hyperlink ref="B13" location="'Depart-Arrival Landing page'!A1" display="back to list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8465" r:id="rId4" name="Drop Down 1">
              <controlPr defaultSize="0" autoLine="0" autoPict="0">
                <anchor moveWithCells="1">
                  <from>
                    <xdr:col>14</xdr:col>
                    <xdr:colOff>7620</xdr:colOff>
                    <xdr:row>6</xdr:row>
                    <xdr:rowOff>7620</xdr:rowOff>
                  </from>
                  <to>
                    <xdr:col>15</xdr:col>
                    <xdr:colOff>0</xdr:colOff>
                    <xdr:row>6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0"/>
  <sheetViews>
    <sheetView showGridLines="0" workbookViewId="0"/>
  </sheetViews>
  <sheetFormatPr defaultRowHeight="14.4" x14ac:dyDescent="0.3"/>
  <cols>
    <col min="2" max="2" width="12.5546875" bestFit="1" customWidth="1"/>
    <col min="3" max="3" width="12.5546875" customWidth="1"/>
    <col min="4" max="4" width="16" customWidth="1"/>
    <col min="5" max="5" width="10.77734375" customWidth="1"/>
    <col min="6" max="6" width="8.88671875" customWidth="1"/>
    <col min="7" max="7" width="12.88671875" bestFit="1" customWidth="1"/>
    <col min="8" max="8" width="9.77734375" bestFit="1" customWidth="1"/>
    <col min="9" max="9" width="9" bestFit="1" customWidth="1"/>
    <col min="10" max="10" width="9" customWidth="1"/>
    <col min="11" max="12" width="10.88671875" customWidth="1"/>
    <col min="13" max="13" width="14.33203125" bestFit="1" customWidth="1"/>
    <col min="14" max="14" width="11.44140625" bestFit="1" customWidth="1"/>
  </cols>
  <sheetData>
    <row r="1" spans="1:14" x14ac:dyDescent="0.3">
      <c r="A1" s="2" t="s">
        <v>119</v>
      </c>
    </row>
    <row r="2" spans="1:14" x14ac:dyDescent="0.3">
      <c r="I2" s="21"/>
      <c r="J2" s="21"/>
      <c r="K2" s="21"/>
      <c r="L2" s="21"/>
      <c r="M2" s="21"/>
    </row>
    <row r="3" spans="1:14" x14ac:dyDescent="0.3">
      <c r="B3" s="41"/>
      <c r="C3" s="41"/>
      <c r="D3" s="41"/>
      <c r="E3" s="41"/>
      <c r="F3" s="41" t="s">
        <v>1365</v>
      </c>
      <c r="G3" s="41"/>
      <c r="H3" s="41"/>
      <c r="I3" s="41"/>
      <c r="J3" s="41"/>
      <c r="K3" s="41"/>
      <c r="L3" s="41"/>
      <c r="M3" s="41"/>
    </row>
    <row r="5" spans="1:14" x14ac:dyDescent="0.3">
      <c r="M5" s="3" t="s">
        <v>55</v>
      </c>
    </row>
    <row r="6" spans="1:14" x14ac:dyDescent="0.3">
      <c r="B6" s="6" t="s">
        <v>1354</v>
      </c>
      <c r="C6" s="6" t="s">
        <v>565</v>
      </c>
      <c r="D6" s="6" t="s">
        <v>629</v>
      </c>
      <c r="E6" s="6" t="s">
        <v>92</v>
      </c>
      <c r="F6" s="6" t="s">
        <v>634</v>
      </c>
      <c r="G6" s="6" t="s">
        <v>114</v>
      </c>
      <c r="H6" s="6" t="s">
        <v>46</v>
      </c>
      <c r="I6" s="6" t="s">
        <v>47</v>
      </c>
      <c r="J6" s="6" t="s">
        <v>865</v>
      </c>
      <c r="K6" s="6" t="s">
        <v>1366</v>
      </c>
      <c r="L6" s="90" t="s">
        <v>487</v>
      </c>
      <c r="M6" s="372" t="s">
        <v>118</v>
      </c>
      <c r="N6" s="373"/>
    </row>
    <row r="7" spans="1:14" x14ac:dyDescent="0.3">
      <c r="B7" s="3" t="s">
        <v>776</v>
      </c>
      <c r="C7" s="3"/>
      <c r="D7" s="3" t="s">
        <v>777</v>
      </c>
      <c r="E7" s="3" t="s">
        <v>778</v>
      </c>
      <c r="F7" s="3" t="s">
        <v>778</v>
      </c>
      <c r="G7" s="3" t="s">
        <v>371</v>
      </c>
      <c r="H7" s="3" t="s">
        <v>684</v>
      </c>
      <c r="I7" s="3" t="s">
        <v>680</v>
      </c>
      <c r="J7" s="3"/>
      <c r="K7" s="3"/>
      <c r="L7" s="118">
        <v>46292</v>
      </c>
      <c r="M7" s="109"/>
      <c r="N7" s="3" t="s">
        <v>106</v>
      </c>
    </row>
    <row r="8" spans="1:14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2" spans="1:14" x14ac:dyDescent="0.3">
      <c r="E12" s="14"/>
      <c r="F12" s="14"/>
      <c r="G12" s="60"/>
      <c r="M12" t="s">
        <v>1357</v>
      </c>
    </row>
    <row r="13" spans="1:14" x14ac:dyDescent="0.3">
      <c r="E13" s="14"/>
      <c r="F13" s="14"/>
      <c r="G13" s="60"/>
      <c r="M13" t="s">
        <v>1358</v>
      </c>
    </row>
    <row r="14" spans="1:14" x14ac:dyDescent="0.3">
      <c r="B14" s="2" t="s">
        <v>1381</v>
      </c>
    </row>
    <row r="15" spans="1:14" x14ac:dyDescent="0.3">
      <c r="K15" s="289" t="s">
        <v>1359</v>
      </c>
    </row>
    <row r="16" spans="1:14" x14ac:dyDescent="0.3">
      <c r="K16" s="289" t="s">
        <v>1360</v>
      </c>
    </row>
    <row r="17" spans="11:11" x14ac:dyDescent="0.3">
      <c r="K17" s="289" t="s">
        <v>1367</v>
      </c>
    </row>
    <row r="18" spans="11:11" x14ac:dyDescent="0.3">
      <c r="K18" s="289" t="s">
        <v>1361</v>
      </c>
    </row>
    <row r="19" spans="11:11" x14ac:dyDescent="0.3">
      <c r="K19" s="289" t="s">
        <v>1362</v>
      </c>
    </row>
    <row r="20" spans="11:11" x14ac:dyDescent="0.3">
      <c r="K20" s="289" t="s">
        <v>1363</v>
      </c>
    </row>
  </sheetData>
  <mergeCells count="1">
    <mergeCell ref="M6:N6"/>
  </mergeCells>
  <hyperlinks>
    <hyperlink ref="A1" location="Menu!A1" display="Menu"/>
    <hyperlink ref="B14" location="'Depart-Arrival Landing page'!A1" display="back to lit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0753" r:id="rId4" name="Drop Down 1">
              <controlPr defaultSize="0" autoLine="0" autoPict="0">
                <anchor moveWithCells="1">
                  <from>
                    <xdr:col>12</xdr:col>
                    <xdr:colOff>7620</xdr:colOff>
                    <xdr:row>6</xdr:row>
                    <xdr:rowOff>7620</xdr:rowOff>
                  </from>
                  <to>
                    <xdr:col>13</xdr:col>
                    <xdr:colOff>0</xdr:colOff>
                    <xdr:row>6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8"/>
  <sheetViews>
    <sheetView showGridLines="0" workbookViewId="0"/>
  </sheetViews>
  <sheetFormatPr defaultRowHeight="14.4" x14ac:dyDescent="0.3"/>
  <cols>
    <col min="2" max="2" width="12.5546875" bestFit="1" customWidth="1"/>
    <col min="3" max="3" width="12.5546875" customWidth="1"/>
    <col min="4" max="4" width="16" customWidth="1"/>
    <col min="5" max="5" width="10.77734375" customWidth="1"/>
    <col min="6" max="6" width="8.88671875" customWidth="1"/>
    <col min="7" max="7" width="12.88671875" bestFit="1" customWidth="1"/>
    <col min="8" max="8" width="9.77734375" bestFit="1" customWidth="1"/>
    <col min="9" max="9" width="9" bestFit="1" customWidth="1"/>
    <col min="10" max="10" width="9" customWidth="1"/>
    <col min="11" max="11" width="17.33203125" bestFit="1" customWidth="1"/>
    <col min="12" max="12" width="10.88671875" bestFit="1" customWidth="1"/>
    <col min="13" max="15" width="10.88671875" customWidth="1"/>
    <col min="16" max="16" width="14.33203125" bestFit="1" customWidth="1"/>
  </cols>
  <sheetData>
    <row r="1" spans="1:16" x14ac:dyDescent="0.3">
      <c r="A1" s="2" t="s">
        <v>119</v>
      </c>
    </row>
    <row r="2" spans="1:16" x14ac:dyDescent="0.3">
      <c r="I2" s="21"/>
      <c r="J2" s="21"/>
      <c r="K2" s="21"/>
      <c r="L2" s="21"/>
      <c r="M2" s="21"/>
      <c r="N2" s="21"/>
      <c r="O2" s="21"/>
      <c r="P2" s="21"/>
    </row>
    <row r="3" spans="1:16" x14ac:dyDescent="0.3">
      <c r="B3" s="41"/>
      <c r="C3" s="41"/>
      <c r="D3" s="41"/>
      <c r="E3" s="41"/>
      <c r="F3" s="41"/>
      <c r="G3" s="41"/>
      <c r="H3" s="41"/>
      <c r="I3" s="41"/>
      <c r="J3" s="41"/>
      <c r="K3" s="41" t="s">
        <v>1480</v>
      </c>
      <c r="L3" s="41"/>
      <c r="M3" s="41"/>
      <c r="N3" s="41"/>
      <c r="O3" s="41"/>
      <c r="P3" s="41"/>
    </row>
    <row r="5" spans="1:16" x14ac:dyDescent="0.3">
      <c r="P5" s="3" t="s">
        <v>55</v>
      </c>
    </row>
    <row r="6" spans="1:16" x14ac:dyDescent="0.3">
      <c r="B6" s="6" t="s">
        <v>1354</v>
      </c>
      <c r="C6" s="6" t="s">
        <v>565</v>
      </c>
      <c r="D6" s="6" t="s">
        <v>629</v>
      </c>
      <c r="E6" s="6" t="s">
        <v>92</v>
      </c>
      <c r="F6" s="6" t="s">
        <v>634</v>
      </c>
      <c r="G6" s="6" t="s">
        <v>114</v>
      </c>
      <c r="H6" s="6" t="s">
        <v>34</v>
      </c>
      <c r="I6" s="6" t="s">
        <v>35</v>
      </c>
      <c r="J6" s="6" t="s">
        <v>36</v>
      </c>
      <c r="K6" s="6" t="s">
        <v>788</v>
      </c>
      <c r="L6" s="6" t="s">
        <v>1355</v>
      </c>
      <c r="M6" s="6" t="s">
        <v>1356</v>
      </c>
      <c r="N6" s="90" t="s">
        <v>487</v>
      </c>
      <c r="O6" s="174" t="s">
        <v>111</v>
      </c>
      <c r="P6" s="319" t="s">
        <v>118</v>
      </c>
    </row>
    <row r="7" spans="1:16" x14ac:dyDescent="0.3">
      <c r="B7" s="3" t="s">
        <v>776</v>
      </c>
      <c r="C7" s="3"/>
      <c r="D7" s="3" t="s">
        <v>777</v>
      </c>
      <c r="E7" s="3" t="s">
        <v>778</v>
      </c>
      <c r="F7" s="3" t="s">
        <v>778</v>
      </c>
      <c r="G7" s="3" t="s">
        <v>371</v>
      </c>
      <c r="H7" s="3" t="s">
        <v>372</v>
      </c>
      <c r="I7" s="3" t="s">
        <v>373</v>
      </c>
      <c r="J7" s="3"/>
      <c r="K7" s="3"/>
      <c r="L7" s="3"/>
      <c r="M7" s="3"/>
      <c r="N7" s="118">
        <v>46292</v>
      </c>
      <c r="O7" s="118" t="s">
        <v>1482</v>
      </c>
      <c r="P7" s="109" t="s">
        <v>1481</v>
      </c>
    </row>
    <row r="8" spans="1:16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2" spans="1:16" x14ac:dyDescent="0.3">
      <c r="E12" s="14"/>
      <c r="F12" s="14"/>
      <c r="G12" s="60"/>
    </row>
    <row r="13" spans="1:16" x14ac:dyDescent="0.3">
      <c r="B13" s="2"/>
      <c r="E13" s="14"/>
      <c r="F13" s="14"/>
      <c r="G13" s="60"/>
    </row>
    <row r="15" spans="1:16" x14ac:dyDescent="0.3">
      <c r="C15" t="s">
        <v>1483</v>
      </c>
      <c r="M15" s="289"/>
    </row>
    <row r="16" spans="1:16" x14ac:dyDescent="0.3">
      <c r="M16" s="289"/>
    </row>
    <row r="17" spans="3:13" ht="25.05" customHeight="1" x14ac:dyDescent="0.3">
      <c r="D17" s="181" t="s">
        <v>1484</v>
      </c>
      <c r="M17" s="289"/>
    </row>
    <row r="18" spans="3:13" ht="25.05" customHeight="1" x14ac:dyDescent="0.3">
      <c r="D18" s="181" t="s">
        <v>1485</v>
      </c>
      <c r="M18" s="289"/>
    </row>
    <row r="19" spans="3:13" ht="25.05" customHeight="1" x14ac:dyDescent="0.3">
      <c r="D19" s="181" t="s">
        <v>1486</v>
      </c>
      <c r="M19" s="289"/>
    </row>
    <row r="20" spans="3:13" ht="25.05" customHeight="1" x14ac:dyDescent="0.3">
      <c r="D20" s="181" t="s">
        <v>1487</v>
      </c>
      <c r="I20" t="s">
        <v>1492</v>
      </c>
      <c r="M20" s="289"/>
    </row>
    <row r="21" spans="3:13" ht="25.05" customHeight="1" x14ac:dyDescent="0.3">
      <c r="D21" s="181" t="s">
        <v>1488</v>
      </c>
    </row>
    <row r="22" spans="3:13" ht="25.05" customHeight="1" x14ac:dyDescent="0.3">
      <c r="D22" s="181" t="s">
        <v>1489</v>
      </c>
    </row>
    <row r="23" spans="3:13" ht="25.05" customHeight="1" x14ac:dyDescent="0.3">
      <c r="D23" s="181" t="s">
        <v>1490</v>
      </c>
    </row>
    <row r="25" spans="3:13" x14ac:dyDescent="0.3">
      <c r="C25" t="s">
        <v>1491</v>
      </c>
    </row>
    <row r="27" spans="3:13" x14ac:dyDescent="0.3">
      <c r="C27" t="s">
        <v>172</v>
      </c>
      <c r="D27" s="20"/>
      <c r="E27" s="33"/>
      <c r="F27" s="33"/>
      <c r="G27" s="34"/>
    </row>
    <row r="28" spans="3:13" x14ac:dyDescent="0.3">
      <c r="D28" s="330" t="s">
        <v>1481</v>
      </c>
    </row>
  </sheetData>
  <hyperlinks>
    <hyperlink ref="A1" location="Menu!A1" display="Menu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1650" r:id="rId4" name="Check Box 2">
              <controlPr defaultSize="0" autoFill="0" autoLine="0" autoPict="0">
                <anchor moveWithCells="1">
                  <from>
                    <xdr:col>2</xdr:col>
                    <xdr:colOff>601980</xdr:colOff>
                    <xdr:row>16</xdr:row>
                    <xdr:rowOff>106680</xdr:rowOff>
                  </from>
                  <to>
                    <xdr:col>3</xdr:col>
                    <xdr:colOff>137160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51" r:id="rId5" name="Check Box 3">
              <controlPr defaultSize="0" autoFill="0" autoLine="0" autoPict="0">
                <anchor moveWithCells="1">
                  <from>
                    <xdr:col>2</xdr:col>
                    <xdr:colOff>601980</xdr:colOff>
                    <xdr:row>17</xdr:row>
                    <xdr:rowOff>106680</xdr:rowOff>
                  </from>
                  <to>
                    <xdr:col>3</xdr:col>
                    <xdr:colOff>137160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52" r:id="rId6" name="Check Box 4">
              <controlPr defaultSize="0" autoFill="0" autoLine="0" autoPict="0">
                <anchor moveWithCells="1">
                  <from>
                    <xdr:col>2</xdr:col>
                    <xdr:colOff>601980</xdr:colOff>
                    <xdr:row>18</xdr:row>
                    <xdr:rowOff>106680</xdr:rowOff>
                  </from>
                  <to>
                    <xdr:col>3</xdr:col>
                    <xdr:colOff>137160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53" r:id="rId7" name="Check Box 5">
              <controlPr defaultSize="0" autoFill="0" autoLine="0" autoPict="0">
                <anchor moveWithCells="1">
                  <from>
                    <xdr:col>2</xdr:col>
                    <xdr:colOff>601980</xdr:colOff>
                    <xdr:row>19</xdr:row>
                    <xdr:rowOff>106680</xdr:rowOff>
                  </from>
                  <to>
                    <xdr:col>3</xdr:col>
                    <xdr:colOff>137160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54" r:id="rId8" name="Check Box 6">
              <controlPr defaultSize="0" autoFill="0" autoLine="0" autoPict="0">
                <anchor moveWithCells="1">
                  <from>
                    <xdr:col>2</xdr:col>
                    <xdr:colOff>601980</xdr:colOff>
                    <xdr:row>20</xdr:row>
                    <xdr:rowOff>106680</xdr:rowOff>
                  </from>
                  <to>
                    <xdr:col>3</xdr:col>
                    <xdr:colOff>137160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55" r:id="rId9" name="Check Box 7">
              <controlPr defaultSize="0" autoFill="0" autoLine="0" autoPict="0">
                <anchor moveWithCells="1">
                  <from>
                    <xdr:col>2</xdr:col>
                    <xdr:colOff>601980</xdr:colOff>
                    <xdr:row>21</xdr:row>
                    <xdr:rowOff>106680</xdr:rowOff>
                  </from>
                  <to>
                    <xdr:col>3</xdr:col>
                    <xdr:colOff>137160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56" r:id="rId10" name="Check Box 8">
              <controlPr defaultSize="0" autoFill="0" autoLine="0" autoPict="0">
                <anchor moveWithCells="1">
                  <from>
                    <xdr:col>2</xdr:col>
                    <xdr:colOff>601980</xdr:colOff>
                    <xdr:row>22</xdr:row>
                    <xdr:rowOff>106680</xdr:rowOff>
                  </from>
                  <to>
                    <xdr:col>3</xdr:col>
                    <xdr:colOff>137160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57" r:id="rId11" name="Drop Down 9">
              <controlPr defaultSize="0" autoLine="0" autoPict="0">
                <anchor moveWithCells="1">
                  <from>
                    <xdr:col>2</xdr:col>
                    <xdr:colOff>838200</xdr:colOff>
                    <xdr:row>24</xdr:row>
                    <xdr:rowOff>7620</xdr:rowOff>
                  </from>
                  <to>
                    <xdr:col>5</xdr:col>
                    <xdr:colOff>0</xdr:colOff>
                    <xdr:row>25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0"/>
  <sheetViews>
    <sheetView showGridLines="0" workbookViewId="0">
      <selection activeCell="B13" sqref="B13"/>
    </sheetView>
  </sheetViews>
  <sheetFormatPr defaultRowHeight="14.4" x14ac:dyDescent="0.3"/>
  <cols>
    <col min="2" max="2" width="12.5546875" bestFit="1" customWidth="1"/>
    <col min="3" max="3" width="12.5546875" customWidth="1"/>
    <col min="4" max="4" width="16" customWidth="1"/>
    <col min="5" max="5" width="10.77734375" customWidth="1"/>
    <col min="6" max="6" width="8.88671875" customWidth="1"/>
    <col min="7" max="7" width="12.88671875" bestFit="1" customWidth="1"/>
    <col min="8" max="8" width="9.77734375" bestFit="1" customWidth="1"/>
    <col min="9" max="9" width="9" bestFit="1" customWidth="1"/>
    <col min="10" max="10" width="9" customWidth="1"/>
    <col min="11" max="11" width="17.33203125" bestFit="1" customWidth="1"/>
    <col min="12" max="12" width="10.88671875" bestFit="1" customWidth="1"/>
    <col min="13" max="14" width="10.88671875" customWidth="1"/>
    <col min="15" max="15" width="14.33203125" bestFit="1" customWidth="1"/>
    <col min="16" max="16" width="11.44140625" bestFit="1" customWidth="1"/>
  </cols>
  <sheetData>
    <row r="1" spans="1:16" x14ac:dyDescent="0.3">
      <c r="A1" s="2" t="s">
        <v>119</v>
      </c>
    </row>
    <row r="2" spans="1:16" x14ac:dyDescent="0.3">
      <c r="I2" s="21"/>
      <c r="J2" s="21"/>
      <c r="K2" s="21"/>
      <c r="L2" s="21"/>
      <c r="M2" s="21"/>
      <c r="N2" s="21"/>
      <c r="O2" s="21"/>
    </row>
    <row r="3" spans="1:16" x14ac:dyDescent="0.3">
      <c r="B3" s="41"/>
      <c r="C3" s="41"/>
      <c r="D3" s="41"/>
      <c r="E3" s="41"/>
      <c r="F3" s="41"/>
      <c r="G3" s="41"/>
      <c r="H3" s="41"/>
      <c r="I3" s="41"/>
      <c r="J3" s="41"/>
      <c r="K3" s="41" t="s">
        <v>1378</v>
      </c>
      <c r="L3" s="41"/>
      <c r="M3" s="41"/>
      <c r="N3" s="41"/>
      <c r="O3" s="41"/>
    </row>
    <row r="5" spans="1:16" x14ac:dyDescent="0.3">
      <c r="O5" s="3" t="s">
        <v>55</v>
      </c>
    </row>
    <row r="6" spans="1:16" x14ac:dyDescent="0.3">
      <c r="B6" s="6" t="s">
        <v>1354</v>
      </c>
      <c r="C6" s="6" t="s">
        <v>565</v>
      </c>
      <c r="D6" s="6" t="s">
        <v>629</v>
      </c>
      <c r="E6" s="6" t="s">
        <v>92</v>
      </c>
      <c r="F6" s="6" t="s">
        <v>634</v>
      </c>
      <c r="G6" s="6" t="s">
        <v>114</v>
      </c>
      <c r="H6" s="6" t="s">
        <v>34</v>
      </c>
      <c r="I6" s="6" t="s">
        <v>35</v>
      </c>
      <c r="J6" s="6" t="s">
        <v>36</v>
      </c>
      <c r="K6" s="6" t="s">
        <v>788</v>
      </c>
      <c r="L6" s="6" t="s">
        <v>1355</v>
      </c>
      <c r="M6" s="6" t="s">
        <v>1375</v>
      </c>
      <c r="N6" s="90" t="s">
        <v>487</v>
      </c>
      <c r="O6" s="372" t="s">
        <v>118</v>
      </c>
      <c r="P6" s="373"/>
    </row>
    <row r="7" spans="1:16" x14ac:dyDescent="0.3">
      <c r="B7" s="3" t="s">
        <v>776</v>
      </c>
      <c r="C7" s="3"/>
      <c r="D7" s="3" t="s">
        <v>777</v>
      </c>
      <c r="E7" s="3" t="s">
        <v>778</v>
      </c>
      <c r="F7" s="3" t="s">
        <v>778</v>
      </c>
      <c r="G7" s="3" t="s">
        <v>371</v>
      </c>
      <c r="H7" s="3" t="s">
        <v>372</v>
      </c>
      <c r="I7" s="3" t="s">
        <v>373</v>
      </c>
      <c r="J7" s="3"/>
      <c r="K7" s="3"/>
      <c r="L7" s="3"/>
      <c r="M7" s="3"/>
      <c r="N7" s="118">
        <v>46292</v>
      </c>
      <c r="O7" s="109"/>
      <c r="P7" s="3" t="s">
        <v>106</v>
      </c>
    </row>
    <row r="8" spans="1:16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2" spans="1:16" x14ac:dyDescent="0.3">
      <c r="E12" s="14"/>
      <c r="F12" s="14"/>
      <c r="G12" s="60"/>
      <c r="O12" t="s">
        <v>1357</v>
      </c>
    </row>
    <row r="13" spans="1:16" x14ac:dyDescent="0.3">
      <c r="B13" s="2" t="s">
        <v>1379</v>
      </c>
      <c r="E13" s="14"/>
      <c r="F13" s="14"/>
      <c r="G13" s="60"/>
      <c r="O13" t="s">
        <v>1358</v>
      </c>
    </row>
    <row r="15" spans="1:16" x14ac:dyDescent="0.3">
      <c r="M15" s="289" t="s">
        <v>1376</v>
      </c>
    </row>
    <row r="16" spans="1:16" x14ac:dyDescent="0.3">
      <c r="M16" s="289" t="s">
        <v>1359</v>
      </c>
    </row>
    <row r="17" spans="13:13" x14ac:dyDescent="0.3">
      <c r="M17" s="289" t="s">
        <v>1360</v>
      </c>
    </row>
    <row r="18" spans="13:13" x14ac:dyDescent="0.3">
      <c r="M18" s="289" t="s">
        <v>1361</v>
      </c>
    </row>
    <row r="19" spans="13:13" x14ac:dyDescent="0.3">
      <c r="M19" s="289" t="s">
        <v>1362</v>
      </c>
    </row>
    <row r="20" spans="13:13" x14ac:dyDescent="0.3">
      <c r="M20" s="289" t="s">
        <v>1363</v>
      </c>
    </row>
  </sheetData>
  <mergeCells count="1">
    <mergeCell ref="O6:P6"/>
  </mergeCells>
  <hyperlinks>
    <hyperlink ref="A1" location="Menu!A1" display="Menu"/>
    <hyperlink ref="B13" location="'Depart-Arrival Landing page'!A1" display="back to landing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2801" r:id="rId4" name="Drop Down 1">
              <controlPr defaultSize="0" autoLine="0" autoPict="0">
                <anchor moveWithCells="1">
                  <from>
                    <xdr:col>14</xdr:col>
                    <xdr:colOff>7620</xdr:colOff>
                    <xdr:row>6</xdr:row>
                    <xdr:rowOff>7620</xdr:rowOff>
                  </from>
                  <to>
                    <xdr:col>15</xdr:col>
                    <xdr:colOff>0</xdr:colOff>
                    <xdr:row>6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3"/>
  <sheetViews>
    <sheetView showGridLines="0" workbookViewId="0">
      <selection activeCell="B13" sqref="B13"/>
    </sheetView>
  </sheetViews>
  <sheetFormatPr defaultRowHeight="14.4" x14ac:dyDescent="0.3"/>
  <cols>
    <col min="2" max="2" width="12.5546875" bestFit="1" customWidth="1"/>
    <col min="3" max="3" width="12.5546875" customWidth="1"/>
    <col min="4" max="4" width="16" customWidth="1"/>
    <col min="5" max="5" width="10.77734375" customWidth="1"/>
    <col min="6" max="6" width="8.88671875" customWidth="1"/>
    <col min="7" max="7" width="12.88671875" bestFit="1" customWidth="1"/>
    <col min="8" max="8" width="9.77734375" bestFit="1" customWidth="1"/>
    <col min="9" max="9" width="9" bestFit="1" customWidth="1"/>
    <col min="10" max="10" width="9" customWidth="1"/>
    <col min="11" max="11" width="17.33203125" bestFit="1" customWidth="1"/>
    <col min="12" max="12" width="10.88671875" bestFit="1" customWidth="1"/>
    <col min="13" max="13" width="10.88671875" customWidth="1"/>
    <col min="14" max="14" width="14.33203125" bestFit="1" customWidth="1"/>
    <col min="15" max="15" width="11.44140625" bestFit="1" customWidth="1"/>
  </cols>
  <sheetData>
    <row r="1" spans="1:15" x14ac:dyDescent="0.3">
      <c r="A1" s="2" t="s">
        <v>119</v>
      </c>
    </row>
    <row r="2" spans="1:15" x14ac:dyDescent="0.3">
      <c r="I2" s="21"/>
      <c r="J2" s="21"/>
      <c r="K2" s="21"/>
      <c r="L2" s="21"/>
      <c r="M2" s="21"/>
      <c r="N2" s="21"/>
    </row>
    <row r="3" spans="1:15" x14ac:dyDescent="0.3">
      <c r="B3" s="41"/>
      <c r="C3" s="41"/>
      <c r="D3" s="41"/>
      <c r="E3" s="41"/>
      <c r="F3" s="41"/>
      <c r="G3" s="41"/>
      <c r="H3" s="41"/>
      <c r="I3" s="41"/>
      <c r="J3" s="41"/>
      <c r="K3" s="41" t="s">
        <v>1377</v>
      </c>
      <c r="L3" s="41"/>
      <c r="M3" s="41"/>
      <c r="N3" s="41"/>
    </row>
    <row r="5" spans="1:15" x14ac:dyDescent="0.3">
      <c r="N5" s="3" t="s">
        <v>55</v>
      </c>
    </row>
    <row r="6" spans="1:15" x14ac:dyDescent="0.3">
      <c r="B6" s="6" t="s">
        <v>1354</v>
      </c>
      <c r="C6" s="6" t="s">
        <v>565</v>
      </c>
      <c r="D6" s="6" t="s">
        <v>629</v>
      </c>
      <c r="E6" s="6" t="s">
        <v>92</v>
      </c>
      <c r="F6" s="6" t="s">
        <v>634</v>
      </c>
      <c r="G6" s="6" t="s">
        <v>114</v>
      </c>
      <c r="H6" s="6" t="s">
        <v>46</v>
      </c>
      <c r="I6" s="6" t="s">
        <v>47</v>
      </c>
      <c r="J6" s="6" t="s">
        <v>865</v>
      </c>
      <c r="K6" s="6" t="s">
        <v>1380</v>
      </c>
      <c r="L6" s="90" t="s">
        <v>487</v>
      </c>
      <c r="M6" s="318"/>
      <c r="N6" s="372" t="s">
        <v>118</v>
      </c>
      <c r="O6" s="373"/>
    </row>
    <row r="7" spans="1:15" x14ac:dyDescent="0.3">
      <c r="B7" s="3" t="s">
        <v>776</v>
      </c>
      <c r="C7" s="3"/>
      <c r="D7" s="3" t="s">
        <v>777</v>
      </c>
      <c r="E7" s="3" t="s">
        <v>778</v>
      </c>
      <c r="F7" s="3" t="s">
        <v>778</v>
      </c>
      <c r="G7" s="3" t="s">
        <v>371</v>
      </c>
      <c r="H7" s="3" t="s">
        <v>372</v>
      </c>
      <c r="I7" s="3" t="s">
        <v>373</v>
      </c>
      <c r="J7" s="3"/>
      <c r="K7" s="3"/>
      <c r="L7" s="3"/>
      <c r="M7" s="118">
        <v>46292</v>
      </c>
      <c r="N7" s="109"/>
      <c r="O7" s="3" t="s">
        <v>106</v>
      </c>
    </row>
    <row r="8" spans="1:15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2" spans="1:15" x14ac:dyDescent="0.3">
      <c r="E12" s="14"/>
      <c r="F12" s="14"/>
      <c r="G12" s="60"/>
      <c r="N12" t="s">
        <v>1357</v>
      </c>
    </row>
    <row r="13" spans="1:15" x14ac:dyDescent="0.3">
      <c r="B13" s="2" t="s">
        <v>223</v>
      </c>
      <c r="E13" s="14"/>
      <c r="F13" s="14"/>
      <c r="G13" s="60"/>
      <c r="N13" t="s">
        <v>1358</v>
      </c>
    </row>
  </sheetData>
  <mergeCells count="1">
    <mergeCell ref="N6:O6"/>
  </mergeCells>
  <hyperlinks>
    <hyperlink ref="A1" location="Menu!A1" display="Menu"/>
    <hyperlink ref="B13" location="'Depart-Arrival Landing page'!A1" display="back to list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3825" r:id="rId4" name="Drop Down 1">
              <controlPr defaultSize="0" autoLine="0" autoPict="0">
                <anchor moveWithCells="1">
                  <from>
                    <xdr:col>13</xdr:col>
                    <xdr:colOff>7620</xdr:colOff>
                    <xdr:row>6</xdr:row>
                    <xdr:rowOff>7620</xdr:rowOff>
                  </from>
                  <to>
                    <xdr:col>14</xdr:col>
                    <xdr:colOff>0</xdr:colOff>
                    <xdr:row>6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1"/>
  <sheetViews>
    <sheetView showGridLines="0" topLeftCell="B1" workbookViewId="0">
      <selection activeCell="B13" sqref="B13"/>
    </sheetView>
  </sheetViews>
  <sheetFormatPr defaultRowHeight="14.4" x14ac:dyDescent="0.3"/>
  <cols>
    <col min="2" max="2" width="12.5546875" bestFit="1" customWidth="1"/>
    <col min="3" max="3" width="12.5546875" customWidth="1"/>
    <col min="4" max="4" width="16" customWidth="1"/>
    <col min="5" max="5" width="10.77734375" customWidth="1"/>
    <col min="6" max="6" width="8.88671875" customWidth="1"/>
    <col min="7" max="7" width="12.88671875" bestFit="1" customWidth="1"/>
    <col min="8" max="8" width="9.77734375" bestFit="1" customWidth="1"/>
    <col min="9" max="9" width="9" bestFit="1" customWidth="1"/>
    <col min="10" max="10" width="9" customWidth="1"/>
    <col min="11" max="11" width="11.5546875" bestFit="1" customWidth="1"/>
    <col min="12" max="12" width="10.88671875" customWidth="1"/>
    <col min="13" max="13" width="14.33203125" bestFit="1" customWidth="1"/>
    <col min="14" max="14" width="11.44140625" bestFit="1" customWidth="1"/>
    <col min="15" max="15" width="15.21875" customWidth="1"/>
  </cols>
  <sheetData>
    <row r="1" spans="1:16" x14ac:dyDescent="0.3">
      <c r="A1" s="2" t="s">
        <v>119</v>
      </c>
    </row>
    <row r="2" spans="1:16" x14ac:dyDescent="0.3">
      <c r="I2" s="21"/>
      <c r="J2" s="21"/>
      <c r="K2" s="21"/>
      <c r="L2" s="21"/>
      <c r="M2" s="21"/>
    </row>
    <row r="3" spans="1:16" x14ac:dyDescent="0.3">
      <c r="B3" s="41"/>
      <c r="C3" s="41"/>
      <c r="D3" s="41"/>
      <c r="E3" s="41"/>
      <c r="F3" s="41"/>
      <c r="G3" s="41"/>
      <c r="H3" s="41" t="s">
        <v>1374</v>
      </c>
      <c r="I3" s="41"/>
      <c r="J3" s="41"/>
      <c r="K3" s="41"/>
      <c r="L3" s="41"/>
      <c r="M3" s="41"/>
    </row>
    <row r="5" spans="1:16" x14ac:dyDescent="0.3">
      <c r="M5" s="3" t="s">
        <v>55</v>
      </c>
    </row>
    <row r="6" spans="1:16" x14ac:dyDescent="0.3">
      <c r="B6" s="6" t="s">
        <v>1354</v>
      </c>
      <c r="C6" s="6" t="s">
        <v>565</v>
      </c>
      <c r="D6" s="6" t="s">
        <v>629</v>
      </c>
      <c r="E6" s="6" t="s">
        <v>92</v>
      </c>
      <c r="F6" s="6" t="s">
        <v>634</v>
      </c>
      <c r="G6" s="6" t="s">
        <v>114</v>
      </c>
      <c r="H6" s="6" t="s">
        <v>34</v>
      </c>
      <c r="I6" s="6" t="s">
        <v>35</v>
      </c>
      <c r="J6" s="6" t="s">
        <v>36</v>
      </c>
      <c r="K6" s="6" t="s">
        <v>788</v>
      </c>
      <c r="L6" s="6" t="s">
        <v>1355</v>
      </c>
      <c r="M6" s="6" t="s">
        <v>1382</v>
      </c>
      <c r="N6" s="90" t="s">
        <v>488</v>
      </c>
      <c r="O6" s="357" t="s">
        <v>118</v>
      </c>
      <c r="P6" s="358"/>
    </row>
    <row r="7" spans="1:16" x14ac:dyDescent="0.3">
      <c r="B7" s="3" t="s">
        <v>776</v>
      </c>
      <c r="C7" s="3"/>
      <c r="D7" s="3" t="s">
        <v>777</v>
      </c>
      <c r="E7" s="3" t="s">
        <v>778</v>
      </c>
      <c r="F7" s="3" t="s">
        <v>778</v>
      </c>
      <c r="G7" s="3" t="s">
        <v>371</v>
      </c>
      <c r="H7" s="3" t="s">
        <v>372</v>
      </c>
      <c r="I7" s="3" t="s">
        <v>373</v>
      </c>
      <c r="J7" s="3"/>
      <c r="K7" s="3"/>
      <c r="L7" s="3"/>
      <c r="M7" s="3"/>
      <c r="N7" s="118">
        <v>46292</v>
      </c>
      <c r="O7" s="109"/>
      <c r="P7" s="3" t="s">
        <v>106</v>
      </c>
    </row>
    <row r="8" spans="1:16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2" spans="1:16" x14ac:dyDescent="0.3">
      <c r="E12" s="14"/>
      <c r="F12" s="14"/>
      <c r="G12" s="60"/>
    </row>
    <row r="13" spans="1:16" x14ac:dyDescent="0.3">
      <c r="B13" s="2" t="s">
        <v>1379</v>
      </c>
      <c r="E13" s="14"/>
      <c r="F13" s="14"/>
      <c r="G13" s="60"/>
    </row>
    <row r="16" spans="1:16" x14ac:dyDescent="0.3">
      <c r="K16" s="289"/>
      <c r="N16" t="s">
        <v>1357</v>
      </c>
    </row>
    <row r="17" spans="11:14" x14ac:dyDescent="0.3">
      <c r="K17" s="289"/>
      <c r="N17" t="s">
        <v>1385</v>
      </c>
    </row>
    <row r="18" spans="11:14" x14ac:dyDescent="0.3">
      <c r="K18" s="289"/>
    </row>
    <row r="19" spans="11:14" x14ac:dyDescent="0.3">
      <c r="K19" s="289"/>
      <c r="N19" s="289" t="s">
        <v>1383</v>
      </c>
    </row>
    <row r="20" spans="11:14" x14ac:dyDescent="0.3">
      <c r="K20" s="289"/>
      <c r="N20" t="s">
        <v>1390</v>
      </c>
    </row>
    <row r="21" spans="11:14" x14ac:dyDescent="0.3">
      <c r="K21" s="289"/>
      <c r="N21" t="s">
        <v>1391</v>
      </c>
    </row>
  </sheetData>
  <mergeCells count="1">
    <mergeCell ref="O6:P6"/>
  </mergeCells>
  <hyperlinks>
    <hyperlink ref="A1" location="Menu!A1" display="Menu"/>
    <hyperlink ref="B13" location="'Depart-Arrival Landing page'!A1" display="back to landing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77857" r:id="rId4" name="Drop Down 1">
              <controlPr defaultSize="0" autoLine="0" autoPict="0">
                <anchor moveWithCells="1">
                  <from>
                    <xdr:col>14</xdr:col>
                    <xdr:colOff>68580</xdr:colOff>
                    <xdr:row>6</xdr:row>
                    <xdr:rowOff>22860</xdr:rowOff>
                  </from>
                  <to>
                    <xdr:col>15</xdr:col>
                    <xdr:colOff>0</xdr:colOff>
                    <xdr:row>7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1"/>
  <sheetViews>
    <sheetView showGridLines="0" workbookViewId="0">
      <selection activeCell="B13" sqref="B13"/>
    </sheetView>
  </sheetViews>
  <sheetFormatPr defaultRowHeight="14.4" x14ac:dyDescent="0.3"/>
  <cols>
    <col min="2" max="2" width="12.5546875" bestFit="1" customWidth="1"/>
    <col min="3" max="3" width="12.5546875" customWidth="1"/>
    <col min="4" max="4" width="16" customWidth="1"/>
    <col min="5" max="5" width="10.77734375" customWidth="1"/>
    <col min="6" max="6" width="8.88671875" customWidth="1"/>
    <col min="7" max="7" width="12.88671875" bestFit="1" customWidth="1"/>
    <col min="8" max="8" width="9.77734375" bestFit="1" customWidth="1"/>
    <col min="9" max="9" width="9" bestFit="1" customWidth="1"/>
    <col min="10" max="10" width="9" customWidth="1"/>
    <col min="11" max="12" width="10.88671875" customWidth="1"/>
    <col min="13" max="13" width="14.33203125" bestFit="1" customWidth="1"/>
    <col min="14" max="14" width="11.44140625" bestFit="1" customWidth="1"/>
  </cols>
  <sheetData>
    <row r="1" spans="1:14" x14ac:dyDescent="0.3">
      <c r="A1" s="2" t="s">
        <v>119</v>
      </c>
    </row>
    <row r="2" spans="1:14" x14ac:dyDescent="0.3">
      <c r="I2" s="21"/>
      <c r="J2" s="21"/>
      <c r="K2" s="21"/>
      <c r="L2" s="21"/>
      <c r="M2" s="21"/>
    </row>
    <row r="3" spans="1:14" x14ac:dyDescent="0.3">
      <c r="B3" s="41"/>
      <c r="C3" s="41"/>
      <c r="D3" s="41"/>
      <c r="E3" s="41"/>
      <c r="F3" s="41"/>
      <c r="G3" s="41"/>
      <c r="H3" s="41" t="s">
        <v>1374</v>
      </c>
      <c r="I3" s="41"/>
      <c r="J3" s="41"/>
      <c r="K3" s="41"/>
      <c r="L3" s="41"/>
      <c r="M3" s="41"/>
    </row>
    <row r="5" spans="1:14" x14ac:dyDescent="0.3">
      <c r="M5" s="3" t="s">
        <v>55</v>
      </c>
    </row>
    <row r="6" spans="1:14" x14ac:dyDescent="0.3">
      <c r="B6" s="6" t="s">
        <v>1354</v>
      </c>
      <c r="C6" s="6" t="s">
        <v>565</v>
      </c>
      <c r="D6" s="6" t="s">
        <v>629</v>
      </c>
      <c r="E6" s="6" t="s">
        <v>92</v>
      </c>
      <c r="F6" s="6" t="s">
        <v>634</v>
      </c>
      <c r="G6" s="6" t="s">
        <v>114</v>
      </c>
      <c r="H6" s="6" t="s">
        <v>46</v>
      </c>
      <c r="I6" s="6" t="s">
        <v>47</v>
      </c>
      <c r="J6" s="6" t="s">
        <v>48</v>
      </c>
      <c r="K6" s="6" t="s">
        <v>1384</v>
      </c>
      <c r="L6" s="90" t="s">
        <v>488</v>
      </c>
      <c r="M6" s="372" t="s">
        <v>118</v>
      </c>
      <c r="N6" s="373"/>
    </row>
    <row r="7" spans="1:14" x14ac:dyDescent="0.3">
      <c r="B7" s="3" t="s">
        <v>776</v>
      </c>
      <c r="C7" s="3"/>
      <c r="D7" s="3" t="s">
        <v>777</v>
      </c>
      <c r="E7" s="3" t="s">
        <v>778</v>
      </c>
      <c r="F7" s="3" t="s">
        <v>778</v>
      </c>
      <c r="G7" s="3" t="s">
        <v>371</v>
      </c>
      <c r="H7" s="3" t="s">
        <v>684</v>
      </c>
      <c r="I7" s="3" t="s">
        <v>680</v>
      </c>
      <c r="J7" s="3"/>
      <c r="K7" s="3"/>
      <c r="L7" s="118">
        <v>46292</v>
      </c>
      <c r="M7" s="109"/>
      <c r="N7" s="3" t="s">
        <v>106</v>
      </c>
    </row>
    <row r="8" spans="1:14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2" spans="1:14" x14ac:dyDescent="0.3">
      <c r="E12" s="14"/>
      <c r="F12" s="14"/>
      <c r="G12" s="60"/>
      <c r="M12" t="s">
        <v>1357</v>
      </c>
    </row>
    <row r="13" spans="1:14" x14ac:dyDescent="0.3">
      <c r="B13" s="2" t="s">
        <v>1379</v>
      </c>
      <c r="E13" s="14"/>
      <c r="F13" s="14"/>
      <c r="G13" s="60"/>
      <c r="M13" t="s">
        <v>1385</v>
      </c>
    </row>
    <row r="15" spans="1:14" x14ac:dyDescent="0.3">
      <c r="K15" s="289" t="s">
        <v>1386</v>
      </c>
    </row>
    <row r="16" spans="1:14" x14ac:dyDescent="0.3">
      <c r="K16" s="289"/>
    </row>
    <row r="17" spans="11:11" x14ac:dyDescent="0.3">
      <c r="K17" s="289"/>
    </row>
    <row r="18" spans="11:11" x14ac:dyDescent="0.3">
      <c r="K18" s="289"/>
    </row>
    <row r="19" spans="11:11" x14ac:dyDescent="0.3">
      <c r="K19" s="289"/>
    </row>
    <row r="20" spans="11:11" x14ac:dyDescent="0.3">
      <c r="K20" s="289"/>
    </row>
    <row r="21" spans="11:11" x14ac:dyDescent="0.3">
      <c r="K21" s="289"/>
    </row>
  </sheetData>
  <mergeCells count="1">
    <mergeCell ref="M6:N6"/>
  </mergeCells>
  <hyperlinks>
    <hyperlink ref="A1" location="Menu!A1" display="Menu"/>
    <hyperlink ref="B13" location="'Depart-Arrival Landing page'!A1" display="back to landing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76833" r:id="rId4" name="Drop Down 1">
              <controlPr defaultSize="0" autoLine="0" autoPict="0">
                <anchor moveWithCells="1">
                  <from>
                    <xdr:col>12</xdr:col>
                    <xdr:colOff>7620</xdr:colOff>
                    <xdr:row>6</xdr:row>
                    <xdr:rowOff>7620</xdr:rowOff>
                  </from>
                  <to>
                    <xdr:col>13</xdr:col>
                    <xdr:colOff>0</xdr:colOff>
                    <xdr:row>6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showGridLines="0" workbookViewId="0"/>
  </sheetViews>
  <sheetFormatPr defaultRowHeight="14.4" x14ac:dyDescent="0.3"/>
  <cols>
    <col min="2" max="2" width="12.5546875" bestFit="1" customWidth="1"/>
    <col min="3" max="3" width="12.5546875" customWidth="1"/>
    <col min="4" max="4" width="16" customWidth="1"/>
    <col min="5" max="5" width="10.77734375" customWidth="1"/>
    <col min="6" max="6" width="8.88671875" customWidth="1"/>
    <col min="7" max="7" width="12.88671875" bestFit="1" customWidth="1"/>
    <col min="8" max="8" width="9.77734375" bestFit="1" customWidth="1"/>
    <col min="9" max="9" width="9" bestFit="1" customWidth="1"/>
    <col min="10" max="10" width="9" customWidth="1"/>
    <col min="11" max="11" width="17.33203125" bestFit="1" customWidth="1"/>
    <col min="12" max="12" width="10.88671875" bestFit="1" customWidth="1"/>
    <col min="13" max="13" width="13.88671875" bestFit="1" customWidth="1"/>
    <col min="14" max="14" width="10.88671875" customWidth="1"/>
    <col min="15" max="15" width="14.33203125" bestFit="1" customWidth="1"/>
    <col min="16" max="16" width="11.44140625" bestFit="1" customWidth="1"/>
  </cols>
  <sheetData>
    <row r="1" spans="1:17" x14ac:dyDescent="0.3">
      <c r="A1" s="2" t="s">
        <v>119</v>
      </c>
    </row>
    <row r="2" spans="1:17" x14ac:dyDescent="0.3">
      <c r="I2" s="21"/>
      <c r="J2" s="21"/>
      <c r="K2" s="21"/>
      <c r="L2" s="21"/>
      <c r="M2" s="21"/>
      <c r="N2" s="21"/>
      <c r="O2" s="21"/>
    </row>
    <row r="3" spans="1:17" x14ac:dyDescent="0.3">
      <c r="B3" s="41"/>
      <c r="C3" s="41"/>
      <c r="D3" s="41"/>
      <c r="E3" s="41"/>
      <c r="F3" s="41"/>
      <c r="G3" s="41"/>
      <c r="H3" s="41"/>
      <c r="I3" s="41"/>
      <c r="J3" s="41"/>
      <c r="K3" s="41" t="s">
        <v>1506</v>
      </c>
      <c r="L3" s="41"/>
      <c r="M3" s="41"/>
      <c r="N3" s="41"/>
      <c r="O3" s="41"/>
    </row>
    <row r="5" spans="1:17" x14ac:dyDescent="0.3">
      <c r="O5" s="3" t="s">
        <v>55</v>
      </c>
    </row>
    <row r="6" spans="1:17" x14ac:dyDescent="0.3">
      <c r="B6" s="6" t="s">
        <v>1354</v>
      </c>
      <c r="C6" s="6" t="s">
        <v>565</v>
      </c>
      <c r="D6" s="6" t="s">
        <v>629</v>
      </c>
      <c r="E6" s="6" t="s">
        <v>92</v>
      </c>
      <c r="F6" s="6" t="s">
        <v>634</v>
      </c>
      <c r="G6" s="6" t="s">
        <v>114</v>
      </c>
      <c r="H6" s="6" t="s">
        <v>34</v>
      </c>
      <c r="I6" s="6" t="s">
        <v>35</v>
      </c>
      <c r="J6" s="6" t="s">
        <v>36</v>
      </c>
      <c r="K6" s="6" t="s">
        <v>788</v>
      </c>
      <c r="L6" s="6" t="s">
        <v>1355</v>
      </c>
      <c r="M6" s="6" t="s">
        <v>1382</v>
      </c>
      <c r="N6" s="90" t="s">
        <v>488</v>
      </c>
      <c r="O6" s="372" t="s">
        <v>118</v>
      </c>
      <c r="P6" s="373"/>
    </row>
    <row r="7" spans="1:17" x14ac:dyDescent="0.3">
      <c r="B7" s="3" t="s">
        <v>776</v>
      </c>
      <c r="C7" s="3"/>
      <c r="D7" s="3" t="s">
        <v>777</v>
      </c>
      <c r="E7" s="3" t="s">
        <v>778</v>
      </c>
      <c r="F7" s="3" t="s">
        <v>778</v>
      </c>
      <c r="G7" s="3" t="s">
        <v>371</v>
      </c>
      <c r="H7" s="3" t="s">
        <v>372</v>
      </c>
      <c r="I7" s="3" t="s">
        <v>373</v>
      </c>
      <c r="J7" s="3"/>
      <c r="K7" s="3"/>
      <c r="L7" s="3"/>
      <c r="M7" s="3"/>
      <c r="N7" s="118">
        <v>46292</v>
      </c>
      <c r="O7" s="109" t="s">
        <v>1507</v>
      </c>
      <c r="P7" s="3" t="s">
        <v>106</v>
      </c>
    </row>
    <row r="8" spans="1:17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7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7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2" spans="1:17" x14ac:dyDescent="0.3">
      <c r="E12" s="14"/>
      <c r="F12" s="14"/>
      <c r="G12" s="60"/>
    </row>
    <row r="13" spans="1:17" x14ac:dyDescent="0.3">
      <c r="B13" s="2"/>
      <c r="E13" s="14"/>
      <c r="F13" s="14"/>
      <c r="G13" s="60"/>
    </row>
    <row r="14" spans="1:17" x14ac:dyDescent="0.3">
      <c r="L14" t="s">
        <v>1388</v>
      </c>
      <c r="M14" s="32" t="s">
        <v>1387</v>
      </c>
      <c r="O14" s="21"/>
      <c r="P14" s="21"/>
      <c r="Q14" s="289"/>
    </row>
    <row r="15" spans="1:17" x14ac:dyDescent="0.3">
      <c r="L15" s="3"/>
      <c r="M15" s="117"/>
    </row>
    <row r="16" spans="1:17" x14ac:dyDescent="0.3">
      <c r="M16" s="289" t="s">
        <v>1389</v>
      </c>
    </row>
    <row r="17" spans="13:13" x14ac:dyDescent="0.3">
      <c r="M17" s="289"/>
    </row>
    <row r="18" spans="13:13" x14ac:dyDescent="0.3">
      <c r="M18" s="289"/>
    </row>
    <row r="19" spans="13:13" x14ac:dyDescent="0.3">
      <c r="M19" s="289"/>
    </row>
    <row r="20" spans="13:13" x14ac:dyDescent="0.3">
      <c r="M20" s="289"/>
    </row>
    <row r="21" spans="13:13" x14ac:dyDescent="0.3">
      <c r="M21" s="289"/>
    </row>
  </sheetData>
  <mergeCells count="1">
    <mergeCell ref="O6:P6"/>
  </mergeCells>
  <hyperlinks>
    <hyperlink ref="A1" location="Menu!A1" display="Menu"/>
  </hyperlinks>
  <pageMargins left="0.7" right="0.7" top="0.75" bottom="0.75" header="0.3" footer="0.3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showGridLines="0" workbookViewId="0"/>
  </sheetViews>
  <sheetFormatPr defaultRowHeight="14.4" x14ac:dyDescent="0.3"/>
  <cols>
    <col min="2" max="2" width="12.5546875" bestFit="1" customWidth="1"/>
    <col min="3" max="3" width="12.5546875" customWidth="1"/>
    <col min="4" max="4" width="16" customWidth="1"/>
    <col min="5" max="5" width="10.77734375" customWidth="1"/>
    <col min="6" max="6" width="8.88671875" customWidth="1"/>
    <col min="7" max="7" width="12.88671875" bestFit="1" customWidth="1"/>
    <col min="8" max="8" width="9.77734375" bestFit="1" customWidth="1"/>
    <col min="9" max="9" width="9" bestFit="1" customWidth="1"/>
    <col min="10" max="10" width="9" customWidth="1"/>
    <col min="11" max="11" width="17.33203125" bestFit="1" customWidth="1"/>
    <col min="12" max="12" width="10.88671875" bestFit="1" customWidth="1"/>
    <col min="13" max="13" width="13.88671875" bestFit="1" customWidth="1"/>
    <col min="14" max="14" width="10.88671875" customWidth="1"/>
    <col min="15" max="15" width="14.33203125" bestFit="1" customWidth="1"/>
    <col min="16" max="16" width="11.44140625" bestFit="1" customWidth="1"/>
  </cols>
  <sheetData>
    <row r="1" spans="1:17" x14ac:dyDescent="0.3">
      <c r="A1" s="2" t="s">
        <v>119</v>
      </c>
    </row>
    <row r="2" spans="1:17" x14ac:dyDescent="0.3">
      <c r="I2" s="21"/>
      <c r="J2" s="21"/>
      <c r="K2" s="21"/>
      <c r="L2" s="21"/>
      <c r="M2" s="21"/>
      <c r="N2" s="21"/>
      <c r="O2" s="21"/>
    </row>
    <row r="3" spans="1:17" x14ac:dyDescent="0.3">
      <c r="B3" s="41"/>
      <c r="C3" s="41"/>
      <c r="D3" s="41"/>
      <c r="E3" s="41"/>
      <c r="F3" s="41"/>
      <c r="G3" s="41"/>
      <c r="H3" s="41"/>
      <c r="I3" s="41"/>
      <c r="J3" s="41"/>
      <c r="K3" s="41" t="s">
        <v>1508</v>
      </c>
      <c r="L3" s="41"/>
      <c r="M3" s="41"/>
      <c r="N3" s="41"/>
      <c r="O3" s="41"/>
    </row>
    <row r="5" spans="1:17" x14ac:dyDescent="0.3">
      <c r="O5" s="3" t="s">
        <v>55</v>
      </c>
    </row>
    <row r="6" spans="1:17" x14ac:dyDescent="0.3">
      <c r="B6" s="6" t="s">
        <v>1354</v>
      </c>
      <c r="C6" s="6" t="s">
        <v>565</v>
      </c>
      <c r="D6" s="6" t="s">
        <v>629</v>
      </c>
      <c r="E6" s="6" t="s">
        <v>92</v>
      </c>
      <c r="F6" s="6" t="s">
        <v>634</v>
      </c>
      <c r="G6" s="6" t="s">
        <v>114</v>
      </c>
      <c r="H6" s="6" t="s">
        <v>34</v>
      </c>
      <c r="I6" s="6" t="s">
        <v>35</v>
      </c>
      <c r="J6" s="6" t="s">
        <v>36</v>
      </c>
      <c r="K6" s="6" t="s">
        <v>788</v>
      </c>
      <c r="L6" s="6" t="s">
        <v>1355</v>
      </c>
      <c r="M6" s="6" t="s">
        <v>1382</v>
      </c>
      <c r="N6" s="90" t="s">
        <v>488</v>
      </c>
      <c r="O6" s="372" t="s">
        <v>118</v>
      </c>
      <c r="P6" s="373"/>
    </row>
    <row r="7" spans="1:17" x14ac:dyDescent="0.3">
      <c r="B7" s="3" t="s">
        <v>776</v>
      </c>
      <c r="C7" s="3"/>
      <c r="D7" s="3" t="s">
        <v>777</v>
      </c>
      <c r="E7" s="3" t="s">
        <v>778</v>
      </c>
      <c r="F7" s="3" t="s">
        <v>778</v>
      </c>
      <c r="G7" s="3" t="s">
        <v>371</v>
      </c>
      <c r="H7" s="3" t="s">
        <v>372</v>
      </c>
      <c r="I7" s="3" t="s">
        <v>373</v>
      </c>
      <c r="J7" s="3"/>
      <c r="K7" s="3"/>
      <c r="L7" s="3"/>
      <c r="M7" s="3"/>
      <c r="N7" s="118">
        <v>46292</v>
      </c>
      <c r="O7" s="109" t="s">
        <v>1392</v>
      </c>
      <c r="P7" s="3"/>
    </row>
    <row r="8" spans="1:17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7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7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2" spans="1:17" x14ac:dyDescent="0.3">
      <c r="E12" s="14"/>
      <c r="F12" s="14"/>
      <c r="G12" s="60"/>
    </row>
    <row r="13" spans="1:17" x14ac:dyDescent="0.3">
      <c r="B13" s="2"/>
      <c r="E13" s="14"/>
      <c r="F13" s="14"/>
      <c r="G13" s="60"/>
      <c r="K13" s="21"/>
      <c r="L13" s="21"/>
      <c r="M13" s="21"/>
    </row>
    <row r="14" spans="1:17" x14ac:dyDescent="0.3">
      <c r="B14" s="43" t="s">
        <v>1394</v>
      </c>
      <c r="C14" s="44"/>
      <c r="D14" s="44"/>
      <c r="E14" s="44"/>
      <c r="F14" s="44"/>
      <c r="G14" s="44"/>
      <c r="H14" s="44"/>
      <c r="I14" s="44"/>
      <c r="J14" s="45"/>
      <c r="K14" s="21"/>
      <c r="L14" s="21"/>
      <c r="M14" s="49"/>
      <c r="O14" s="21"/>
      <c r="P14" s="21"/>
      <c r="Q14" s="289"/>
    </row>
    <row r="15" spans="1:17" x14ac:dyDescent="0.3">
      <c r="B15" s="46" t="s">
        <v>1393</v>
      </c>
      <c r="C15" s="21"/>
      <c r="D15" s="21"/>
      <c r="E15" s="21"/>
      <c r="F15" s="21"/>
      <c r="G15" s="21"/>
      <c r="H15" s="21"/>
      <c r="I15" s="21"/>
      <c r="J15" s="48"/>
      <c r="K15" s="21"/>
      <c r="L15" s="21"/>
      <c r="M15" s="290"/>
    </row>
    <row r="16" spans="1:17" x14ac:dyDescent="0.3">
      <c r="B16" s="46" t="s">
        <v>1395</v>
      </c>
      <c r="C16" s="21"/>
      <c r="D16" s="21"/>
      <c r="E16" s="21"/>
      <c r="F16" s="21"/>
      <c r="G16" s="21"/>
      <c r="H16" s="21"/>
      <c r="I16" s="21"/>
      <c r="J16" s="48"/>
      <c r="K16" s="21"/>
      <c r="L16" s="21"/>
      <c r="M16" s="290"/>
    </row>
    <row r="17" spans="2:13" x14ac:dyDescent="0.3">
      <c r="B17" s="46" t="s">
        <v>1396</v>
      </c>
      <c r="C17" s="21"/>
      <c r="D17" s="21"/>
      <c r="E17" s="21"/>
      <c r="F17" s="21"/>
      <c r="G17" s="21"/>
      <c r="H17" s="21"/>
      <c r="I17" s="21"/>
      <c r="J17" s="48"/>
      <c r="K17" s="21"/>
      <c r="L17" s="21"/>
      <c r="M17" s="290"/>
    </row>
    <row r="18" spans="2:13" x14ac:dyDescent="0.3">
      <c r="B18" s="46" t="s">
        <v>1397</v>
      </c>
      <c r="C18" s="21"/>
      <c r="D18" s="21"/>
      <c r="E18" s="21"/>
      <c r="F18" s="21"/>
      <c r="G18" s="21"/>
      <c r="H18" s="21"/>
      <c r="I18" s="21"/>
      <c r="J18" s="48"/>
      <c r="M18" s="289"/>
    </row>
    <row r="19" spans="2:13" x14ac:dyDescent="0.3">
      <c r="B19" s="46"/>
      <c r="C19" s="21"/>
      <c r="D19" s="21"/>
      <c r="E19" s="21"/>
      <c r="F19" s="21"/>
      <c r="G19" s="21"/>
      <c r="H19" s="21"/>
      <c r="I19" s="21"/>
      <c r="J19" s="48"/>
      <c r="M19" s="289"/>
    </row>
    <row r="20" spans="2:13" x14ac:dyDescent="0.3">
      <c r="B20" s="46" t="s">
        <v>1398</v>
      </c>
      <c r="C20" s="21"/>
      <c r="D20" s="21"/>
      <c r="E20" s="21"/>
      <c r="F20" s="21"/>
      <c r="G20" s="21"/>
      <c r="H20" s="21"/>
      <c r="I20" s="21"/>
      <c r="J20" s="48"/>
      <c r="M20" s="289"/>
    </row>
    <row r="21" spans="2:13" x14ac:dyDescent="0.3">
      <c r="B21" s="46"/>
      <c r="C21" s="21"/>
      <c r="D21" s="21"/>
      <c r="E21" s="21"/>
      <c r="F21" s="21"/>
      <c r="G21" s="21"/>
      <c r="H21" s="21"/>
      <c r="I21" s="21"/>
      <c r="J21" s="48"/>
      <c r="M21" s="289"/>
    </row>
    <row r="22" spans="2:13" x14ac:dyDescent="0.3">
      <c r="B22" s="46"/>
      <c r="C22" s="21"/>
      <c r="D22" s="21"/>
      <c r="E22" s="21"/>
      <c r="F22" s="21"/>
      <c r="G22" s="21"/>
      <c r="H22" s="21"/>
      <c r="I22" s="21"/>
      <c r="J22" s="48"/>
    </row>
    <row r="23" spans="2:13" x14ac:dyDescent="0.3">
      <c r="B23" s="46"/>
      <c r="C23" s="21"/>
      <c r="D23" s="21"/>
      <c r="E23" s="21"/>
      <c r="F23" s="21"/>
      <c r="G23" s="21"/>
      <c r="H23" s="21"/>
      <c r="I23" s="21"/>
      <c r="J23" s="48"/>
    </row>
    <row r="24" spans="2:13" x14ac:dyDescent="0.3">
      <c r="B24" s="46"/>
      <c r="C24" s="21"/>
      <c r="D24" s="21"/>
      <c r="E24" s="21"/>
      <c r="F24" s="21"/>
      <c r="G24" s="21"/>
      <c r="H24" s="21"/>
      <c r="I24" s="21"/>
      <c r="J24" s="48"/>
    </row>
    <row r="25" spans="2:13" x14ac:dyDescent="0.3">
      <c r="B25" s="46"/>
      <c r="C25" s="21"/>
      <c r="D25" s="21"/>
      <c r="E25" s="21"/>
      <c r="F25" s="21"/>
      <c r="G25" s="21"/>
      <c r="H25" s="21"/>
      <c r="I25" s="21"/>
      <c r="J25" s="48"/>
    </row>
    <row r="26" spans="2:13" x14ac:dyDescent="0.3">
      <c r="B26" s="46"/>
      <c r="C26" s="21"/>
      <c r="D26" s="21"/>
      <c r="E26" s="21"/>
      <c r="F26" s="21"/>
      <c r="G26" s="21"/>
      <c r="H26" s="21"/>
      <c r="I26" s="21"/>
      <c r="J26" s="48"/>
    </row>
    <row r="27" spans="2:13" x14ac:dyDescent="0.3">
      <c r="B27" s="46"/>
      <c r="C27" s="21"/>
      <c r="D27" s="21"/>
      <c r="E27" s="21"/>
      <c r="F27" s="21"/>
      <c r="G27" s="21"/>
      <c r="H27" s="21"/>
      <c r="I27" s="21"/>
      <c r="J27" s="48"/>
    </row>
    <row r="28" spans="2:13" x14ac:dyDescent="0.3">
      <c r="B28" s="46"/>
      <c r="C28" s="21"/>
      <c r="D28" s="21"/>
      <c r="E28" s="21"/>
      <c r="F28" s="21"/>
      <c r="G28" s="21"/>
      <c r="H28" s="21"/>
      <c r="I28" s="21"/>
      <c r="J28" s="48"/>
    </row>
    <row r="29" spans="2:13" x14ac:dyDescent="0.3">
      <c r="B29" s="46"/>
      <c r="C29" s="21"/>
      <c r="D29" s="21"/>
      <c r="E29" s="21"/>
      <c r="F29" s="21"/>
      <c r="G29" s="21"/>
      <c r="H29" s="21"/>
      <c r="I29" s="21"/>
      <c r="J29" s="48"/>
    </row>
    <row r="30" spans="2:13" x14ac:dyDescent="0.3">
      <c r="B30" s="46" t="s">
        <v>1399</v>
      </c>
      <c r="C30" s="21"/>
      <c r="D30" s="21"/>
      <c r="E30" s="21"/>
      <c r="F30" s="21"/>
      <c r="G30" s="21"/>
      <c r="H30" s="21"/>
      <c r="I30" s="21"/>
      <c r="J30" s="48"/>
    </row>
    <row r="31" spans="2:13" x14ac:dyDescent="0.3">
      <c r="B31" s="46"/>
      <c r="C31" s="21"/>
      <c r="D31" s="21"/>
      <c r="E31" s="21"/>
      <c r="F31" s="21"/>
      <c r="G31" s="21"/>
      <c r="H31" s="21"/>
      <c r="I31" s="21"/>
      <c r="J31" s="48"/>
    </row>
    <row r="32" spans="2:13" x14ac:dyDescent="0.3">
      <c r="B32" s="46"/>
      <c r="C32" s="21"/>
      <c r="D32" s="21"/>
      <c r="E32" s="21"/>
      <c r="F32" s="21"/>
      <c r="G32" s="21"/>
      <c r="H32" s="21"/>
      <c r="I32" s="21"/>
      <c r="J32" s="48"/>
    </row>
    <row r="33" spans="2:10" x14ac:dyDescent="0.3">
      <c r="B33" s="46"/>
      <c r="C33" s="21"/>
      <c r="D33" s="21"/>
      <c r="E33" s="21"/>
      <c r="F33" s="21"/>
      <c r="G33" s="21"/>
      <c r="H33" s="21"/>
      <c r="I33" s="21"/>
      <c r="J33" s="48"/>
    </row>
    <row r="34" spans="2:10" x14ac:dyDescent="0.3">
      <c r="B34" s="46"/>
      <c r="C34" s="21"/>
      <c r="D34" s="21"/>
      <c r="E34" s="21"/>
      <c r="F34" s="21"/>
      <c r="G34" s="21"/>
      <c r="H34" s="21"/>
      <c r="I34" s="21"/>
      <c r="J34" s="48"/>
    </row>
    <row r="35" spans="2:10" x14ac:dyDescent="0.3">
      <c r="B35" s="46"/>
      <c r="C35" s="21"/>
      <c r="D35" s="21"/>
      <c r="E35" s="21"/>
      <c r="F35" s="21"/>
      <c r="G35" s="21"/>
      <c r="H35" s="21"/>
      <c r="I35" s="21"/>
      <c r="J35" s="48"/>
    </row>
    <row r="36" spans="2:10" x14ac:dyDescent="0.3">
      <c r="B36" s="46"/>
      <c r="C36" s="21"/>
      <c r="D36" s="21"/>
      <c r="E36" s="21"/>
      <c r="F36" s="21"/>
      <c r="G36" s="21"/>
      <c r="H36" s="21"/>
      <c r="I36" s="21"/>
      <c r="J36" s="48"/>
    </row>
    <row r="37" spans="2:10" x14ac:dyDescent="0.3">
      <c r="B37" s="46"/>
      <c r="C37" s="21"/>
      <c r="D37" s="21"/>
      <c r="E37" s="21"/>
      <c r="F37" s="21"/>
      <c r="G37" s="21"/>
      <c r="H37" s="21"/>
      <c r="I37" s="21"/>
      <c r="J37" s="48"/>
    </row>
    <row r="38" spans="2:10" x14ac:dyDescent="0.3">
      <c r="B38" s="46"/>
      <c r="C38" s="21"/>
      <c r="D38" s="21"/>
      <c r="E38" s="21"/>
      <c r="F38" s="21"/>
      <c r="G38" s="21"/>
      <c r="H38" s="21"/>
      <c r="I38" s="21"/>
      <c r="J38" s="48"/>
    </row>
    <row r="39" spans="2:10" x14ac:dyDescent="0.3">
      <c r="B39" s="46"/>
      <c r="C39" s="21"/>
      <c r="D39" s="21"/>
      <c r="E39" s="21"/>
      <c r="F39" s="21"/>
      <c r="G39" s="21"/>
      <c r="H39" s="21"/>
      <c r="I39" s="21"/>
      <c r="J39" s="48"/>
    </row>
    <row r="40" spans="2:10" x14ac:dyDescent="0.3">
      <c r="B40" s="46"/>
      <c r="C40" s="21"/>
      <c r="D40" s="21"/>
      <c r="E40" s="21"/>
      <c r="F40" s="21"/>
      <c r="G40" s="21"/>
      <c r="H40" s="21"/>
      <c r="I40" s="21"/>
      <c r="J40" s="48"/>
    </row>
    <row r="41" spans="2:10" x14ac:dyDescent="0.3">
      <c r="B41" s="46"/>
      <c r="C41" s="21"/>
      <c r="D41" s="21"/>
      <c r="E41" s="21"/>
      <c r="F41" s="21"/>
      <c r="G41" s="21"/>
      <c r="H41" s="21"/>
      <c r="I41" s="21"/>
      <c r="J41" s="48"/>
    </row>
    <row r="42" spans="2:10" x14ac:dyDescent="0.3">
      <c r="B42" s="46"/>
      <c r="C42" s="21"/>
      <c r="D42" s="21"/>
      <c r="E42" s="21"/>
      <c r="F42" s="21"/>
      <c r="G42" s="21"/>
      <c r="H42" s="21"/>
      <c r="I42" s="21"/>
      <c r="J42" s="48"/>
    </row>
    <row r="43" spans="2:10" x14ac:dyDescent="0.3">
      <c r="B43" s="46"/>
      <c r="C43" s="21"/>
      <c r="D43" s="21"/>
      <c r="E43" s="21"/>
      <c r="F43" s="21"/>
      <c r="G43" s="21"/>
      <c r="H43" s="21"/>
      <c r="I43" s="21"/>
      <c r="J43" s="48"/>
    </row>
    <row r="44" spans="2:10" x14ac:dyDescent="0.3">
      <c r="B44" s="50"/>
      <c r="C44" s="1"/>
      <c r="D44" s="1"/>
      <c r="E44" s="1"/>
      <c r="F44" s="1"/>
      <c r="G44" s="1"/>
      <c r="H44" s="1"/>
      <c r="I44" s="1"/>
      <c r="J44" s="51"/>
    </row>
  </sheetData>
  <mergeCells count="1">
    <mergeCell ref="O6:P6"/>
  </mergeCells>
  <hyperlinks>
    <hyperlink ref="A1" location="Menu!A1" display="Menu"/>
  </hyperlink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showGridLines="0" workbookViewId="0"/>
  </sheetViews>
  <sheetFormatPr defaultRowHeight="14.4" x14ac:dyDescent="0.3"/>
  <cols>
    <col min="2" max="2" width="12.5546875" bestFit="1" customWidth="1"/>
    <col min="3" max="3" width="16" customWidth="1"/>
    <col min="4" max="4" width="9.6640625" customWidth="1"/>
    <col min="5" max="5" width="10.77734375" customWidth="1"/>
    <col min="6" max="6" width="8.88671875" customWidth="1"/>
    <col min="7" max="7" width="9.21875" style="32" bestFit="1" customWidth="1"/>
    <col min="8" max="8" width="12.33203125" bestFit="1" customWidth="1"/>
    <col min="9" max="9" width="9.77734375" bestFit="1" customWidth="1"/>
    <col min="10" max="10" width="9" bestFit="1" customWidth="1"/>
    <col min="11" max="11" width="17.33203125" bestFit="1" customWidth="1"/>
    <col min="12" max="12" width="10.88671875" bestFit="1" customWidth="1"/>
    <col min="13" max="13" width="10.88671875" customWidth="1"/>
    <col min="14" max="14" width="14.33203125" bestFit="1" customWidth="1"/>
    <col min="15" max="15" width="12.5546875" bestFit="1" customWidth="1"/>
    <col min="16" max="16" width="11.44140625" bestFit="1" customWidth="1"/>
    <col min="17" max="17" width="12.44140625" bestFit="1" customWidth="1"/>
  </cols>
  <sheetData>
    <row r="1" spans="1:17" x14ac:dyDescent="0.3">
      <c r="A1" s="2" t="s">
        <v>119</v>
      </c>
    </row>
    <row r="2" spans="1:17" x14ac:dyDescent="0.3">
      <c r="J2" s="21"/>
      <c r="K2" s="21"/>
      <c r="L2" s="21"/>
      <c r="M2" s="21"/>
      <c r="N2" s="21"/>
    </row>
    <row r="3" spans="1:17" x14ac:dyDescent="0.3">
      <c r="B3" s="41"/>
      <c r="C3" s="41"/>
      <c r="D3" s="41"/>
      <c r="E3" s="41"/>
      <c r="F3" s="41"/>
      <c r="G3" s="41"/>
      <c r="H3" s="41"/>
      <c r="I3" s="41"/>
      <c r="J3" s="41"/>
      <c r="K3" s="41" t="s">
        <v>862</v>
      </c>
      <c r="L3" s="41"/>
      <c r="M3" s="41"/>
      <c r="N3" s="41"/>
      <c r="O3" s="42"/>
    </row>
    <row r="4" spans="1:17" x14ac:dyDescent="0.3">
      <c r="G4"/>
    </row>
    <row r="5" spans="1:17" x14ac:dyDescent="0.3">
      <c r="G5"/>
      <c r="N5" s="3"/>
      <c r="O5" s="20"/>
    </row>
    <row r="6" spans="1:17" x14ac:dyDescent="0.3">
      <c r="B6" s="6" t="s">
        <v>565</v>
      </c>
      <c r="C6" s="6" t="s">
        <v>629</v>
      </c>
      <c r="D6" s="6" t="s">
        <v>92</v>
      </c>
      <c r="E6" s="6" t="s">
        <v>634</v>
      </c>
      <c r="F6" s="132" t="s">
        <v>529</v>
      </c>
      <c r="G6" s="6" t="s">
        <v>115</v>
      </c>
      <c r="H6" s="6" t="s">
        <v>114</v>
      </c>
      <c r="I6" s="6" t="s">
        <v>34</v>
      </c>
      <c r="J6" s="6" t="s">
        <v>35</v>
      </c>
      <c r="K6" s="6" t="s">
        <v>860</v>
      </c>
      <c r="L6" s="6" t="s">
        <v>36</v>
      </c>
      <c r="M6" s="6" t="s">
        <v>830</v>
      </c>
      <c r="N6" s="241" t="s">
        <v>838</v>
      </c>
      <c r="O6" s="241" t="s">
        <v>839</v>
      </c>
      <c r="P6" s="232" t="s">
        <v>118</v>
      </c>
      <c r="Q6" s="233"/>
    </row>
    <row r="7" spans="1:17" x14ac:dyDescent="0.3">
      <c r="B7" s="3" t="s">
        <v>776</v>
      </c>
      <c r="C7" s="3" t="s">
        <v>777</v>
      </c>
      <c r="D7" s="3" t="s">
        <v>778</v>
      </c>
      <c r="E7" s="3" t="s">
        <v>778</v>
      </c>
      <c r="F7" s="132"/>
      <c r="G7" s="3" t="s">
        <v>779</v>
      </c>
      <c r="H7" s="3" t="s">
        <v>371</v>
      </c>
      <c r="I7" s="3" t="s">
        <v>372</v>
      </c>
      <c r="J7" s="3" t="s">
        <v>373</v>
      </c>
      <c r="K7" s="3" t="s">
        <v>393</v>
      </c>
      <c r="L7" s="3" t="s">
        <v>780</v>
      </c>
      <c r="M7" s="118"/>
      <c r="N7" s="239"/>
      <c r="O7" s="239"/>
      <c r="P7" s="2" t="s">
        <v>861</v>
      </c>
      <c r="Q7" s="2"/>
    </row>
    <row r="8" spans="1:17" x14ac:dyDescent="0.3">
      <c r="B8" s="3"/>
      <c r="C8" s="3"/>
      <c r="D8" s="3"/>
      <c r="E8" s="3"/>
      <c r="F8" s="132"/>
      <c r="G8" s="3"/>
      <c r="H8" s="3"/>
      <c r="I8" s="3"/>
      <c r="J8" s="3"/>
      <c r="K8" s="3"/>
      <c r="L8" s="3"/>
      <c r="M8" s="3"/>
      <c r="N8" s="239"/>
      <c r="O8" s="239"/>
      <c r="Q8" s="80"/>
    </row>
    <row r="9" spans="1:17" x14ac:dyDescent="0.3">
      <c r="B9" s="3"/>
      <c r="C9" s="3"/>
      <c r="D9" s="3"/>
      <c r="E9" s="3"/>
      <c r="F9" s="132"/>
      <c r="G9" s="3"/>
      <c r="H9" s="3"/>
      <c r="I9" s="3"/>
      <c r="J9" s="3"/>
      <c r="K9" s="3"/>
      <c r="L9" s="3"/>
      <c r="M9" s="3"/>
      <c r="N9" s="239"/>
      <c r="O9" s="239"/>
      <c r="Q9" s="80"/>
    </row>
    <row r="10" spans="1:17" x14ac:dyDescent="0.3">
      <c r="B10" s="3"/>
      <c r="C10" s="3"/>
      <c r="D10" s="3"/>
      <c r="E10" s="3"/>
      <c r="F10" s="132"/>
      <c r="G10" s="3"/>
      <c r="H10" s="3"/>
      <c r="I10" s="3"/>
      <c r="J10" s="3"/>
      <c r="K10" s="3"/>
      <c r="L10" s="3"/>
      <c r="M10" s="3"/>
      <c r="Q10" s="80"/>
    </row>
    <row r="12" spans="1:17" x14ac:dyDescent="0.3">
      <c r="B12" s="111" t="s">
        <v>906</v>
      </c>
      <c r="C12" s="254"/>
      <c r="D12" s="254"/>
      <c r="E12" s="254"/>
      <c r="F12" s="254"/>
      <c r="G12" s="254"/>
      <c r="H12" s="254"/>
      <c r="I12" s="254"/>
      <c r="J12" s="254"/>
      <c r="K12" s="254"/>
      <c r="L12" s="254"/>
      <c r="M12" s="14"/>
      <c r="N12" s="14"/>
      <c r="O12" s="14"/>
      <c r="P12" s="14"/>
    </row>
    <row r="13" spans="1:17" x14ac:dyDescent="0.3">
      <c r="B13" s="20" t="s">
        <v>878</v>
      </c>
      <c r="C13" s="33"/>
      <c r="D13" s="33"/>
      <c r="E13" s="33"/>
      <c r="F13" s="33"/>
      <c r="G13" s="258" t="s">
        <v>882</v>
      </c>
      <c r="H13" s="33"/>
      <c r="I13" s="33"/>
      <c r="J13" s="34"/>
      <c r="K13" s="33"/>
      <c r="L13" s="257" t="s">
        <v>883</v>
      </c>
      <c r="N13" s="94" t="s">
        <v>904</v>
      </c>
    </row>
    <row r="14" spans="1:17" x14ac:dyDescent="0.3">
      <c r="B14" s="43"/>
      <c r="C14" s="44"/>
      <c r="D14" s="44"/>
      <c r="E14" s="44"/>
      <c r="F14" s="45"/>
      <c r="G14" s="158"/>
      <c r="H14" s="21"/>
      <c r="I14" s="21"/>
      <c r="J14" s="48"/>
      <c r="K14" s="43"/>
      <c r="L14" s="45"/>
    </row>
    <row r="15" spans="1:17" x14ac:dyDescent="0.3">
      <c r="B15" s="46"/>
      <c r="C15" s="21"/>
      <c r="D15" s="21"/>
      <c r="E15" s="21"/>
      <c r="F15" s="21"/>
      <c r="G15" s="258" t="s">
        <v>884</v>
      </c>
      <c r="H15" s="33"/>
      <c r="I15" s="33"/>
      <c r="J15" s="33"/>
      <c r="K15" s="33"/>
      <c r="L15" s="34"/>
    </row>
    <row r="16" spans="1:17" x14ac:dyDescent="0.3">
      <c r="B16" s="46"/>
      <c r="C16" s="21"/>
      <c r="D16" s="21"/>
      <c r="E16" s="21"/>
      <c r="F16" s="21"/>
      <c r="G16" s="158"/>
      <c r="H16" s="21"/>
      <c r="I16" s="21"/>
      <c r="J16" s="21"/>
      <c r="K16" s="21"/>
      <c r="L16" s="48"/>
    </row>
    <row r="17" spans="2:12" x14ac:dyDescent="0.3">
      <c r="B17" s="46"/>
      <c r="C17" s="21"/>
      <c r="D17" s="21"/>
      <c r="E17" s="21"/>
      <c r="F17" s="21"/>
      <c r="G17" s="158"/>
      <c r="H17" s="21"/>
      <c r="I17" s="21"/>
      <c r="J17" s="21"/>
      <c r="K17" s="21"/>
      <c r="L17" s="48"/>
    </row>
    <row r="18" spans="2:12" x14ac:dyDescent="0.3">
      <c r="B18" s="46"/>
      <c r="C18" s="21"/>
      <c r="D18" s="21"/>
      <c r="E18" s="21"/>
      <c r="F18" s="21"/>
      <c r="G18" s="158"/>
      <c r="H18" s="21"/>
      <c r="I18" s="21"/>
      <c r="J18" s="21"/>
      <c r="K18" s="21"/>
      <c r="L18" s="48"/>
    </row>
    <row r="19" spans="2:12" x14ac:dyDescent="0.3">
      <c r="B19" s="50"/>
      <c r="C19" s="1"/>
      <c r="D19" s="1"/>
      <c r="E19" s="1"/>
      <c r="F19" s="1"/>
      <c r="G19" s="158"/>
      <c r="H19" s="21"/>
      <c r="I19" s="21"/>
      <c r="J19" s="21"/>
      <c r="K19" s="21"/>
      <c r="L19" s="48"/>
    </row>
    <row r="20" spans="2:12" x14ac:dyDescent="0.3">
      <c r="B20" s="20" t="s">
        <v>881</v>
      </c>
      <c r="C20" s="33"/>
      <c r="D20" s="33"/>
      <c r="E20" s="33"/>
      <c r="F20" s="33"/>
      <c r="G20" s="259" t="s">
        <v>886</v>
      </c>
      <c r="H20" s="44"/>
      <c r="I20" s="44"/>
      <c r="J20" s="44"/>
      <c r="K20" s="44"/>
      <c r="L20" s="45"/>
    </row>
    <row r="21" spans="2:12" x14ac:dyDescent="0.3">
      <c r="B21" s="43"/>
      <c r="C21" s="44"/>
      <c r="D21" s="44"/>
      <c r="E21" s="44"/>
      <c r="F21" s="44"/>
      <c r="G21" s="255"/>
      <c r="H21" s="44"/>
      <c r="I21" s="44"/>
      <c r="J21" s="44"/>
      <c r="K21" s="44"/>
      <c r="L21" s="45"/>
    </row>
    <row r="22" spans="2:12" x14ac:dyDescent="0.3">
      <c r="B22" s="46"/>
      <c r="C22" s="21"/>
      <c r="D22" s="21"/>
      <c r="E22" s="21"/>
      <c r="F22" s="21"/>
      <c r="G22" s="158"/>
      <c r="H22" s="21"/>
      <c r="I22" s="21"/>
      <c r="J22" s="21"/>
      <c r="K22" s="21"/>
      <c r="L22" s="48"/>
    </row>
    <row r="23" spans="2:12" x14ac:dyDescent="0.3">
      <c r="B23" s="46"/>
      <c r="C23" s="21"/>
      <c r="D23" s="21"/>
      <c r="E23" s="21"/>
      <c r="F23" s="21"/>
      <c r="G23" s="158"/>
      <c r="H23" s="21"/>
      <c r="I23" s="21"/>
      <c r="J23" s="21"/>
      <c r="K23" s="21"/>
      <c r="L23" s="48"/>
    </row>
    <row r="24" spans="2:12" x14ac:dyDescent="0.3">
      <c r="B24" s="46"/>
      <c r="C24" s="21"/>
      <c r="D24" s="21"/>
      <c r="E24" s="21"/>
      <c r="F24" s="21"/>
      <c r="G24" s="158"/>
      <c r="H24" s="21"/>
      <c r="I24" s="21"/>
      <c r="J24" s="21"/>
      <c r="K24" s="21"/>
      <c r="L24" s="48"/>
    </row>
    <row r="25" spans="2:12" x14ac:dyDescent="0.3">
      <c r="B25" s="46"/>
      <c r="C25" s="21"/>
      <c r="D25" s="21"/>
      <c r="E25" s="21"/>
      <c r="F25" s="21"/>
      <c r="G25" s="256"/>
      <c r="H25" s="1"/>
      <c r="I25" s="1"/>
      <c r="J25" s="1"/>
      <c r="K25" s="1"/>
      <c r="L25" s="51"/>
    </row>
    <row r="26" spans="2:12" x14ac:dyDescent="0.3">
      <c r="B26" s="50"/>
      <c r="C26" s="1"/>
      <c r="D26" s="1"/>
      <c r="E26" s="1"/>
      <c r="F26" s="51"/>
      <c r="G26" s="258" t="s">
        <v>885</v>
      </c>
      <c r="H26" s="33"/>
      <c r="I26" s="34"/>
      <c r="J26" s="21"/>
      <c r="K26" s="21"/>
      <c r="L26" s="48"/>
    </row>
    <row r="27" spans="2:12" x14ac:dyDescent="0.3">
      <c r="B27" s="20" t="s">
        <v>879</v>
      </c>
      <c r="C27" s="33"/>
      <c r="D27" s="33"/>
      <c r="E27" s="33"/>
      <c r="F27" s="34"/>
      <c r="G27" s="20" t="s">
        <v>880</v>
      </c>
      <c r="H27" s="33"/>
      <c r="I27" s="33"/>
      <c r="J27" s="33"/>
      <c r="K27" s="33"/>
      <c r="L27" s="34"/>
    </row>
    <row r="28" spans="2:12" x14ac:dyDescent="0.3">
      <c r="B28" s="43"/>
      <c r="C28" s="44"/>
      <c r="D28" s="44"/>
      <c r="E28" s="44"/>
      <c r="F28" s="45"/>
      <c r="G28" s="255"/>
      <c r="H28" s="44"/>
      <c r="I28" s="44"/>
      <c r="J28" s="44"/>
      <c r="K28" s="44"/>
      <c r="L28" s="45"/>
    </row>
    <row r="29" spans="2:12" x14ac:dyDescent="0.3">
      <c r="B29" s="46"/>
      <c r="C29" s="21"/>
      <c r="D29" s="21"/>
      <c r="E29" s="21"/>
      <c r="F29" s="48"/>
      <c r="G29" s="158"/>
      <c r="H29" s="21"/>
      <c r="I29" s="21"/>
      <c r="J29" s="21"/>
      <c r="K29" s="21"/>
      <c r="L29" s="48"/>
    </row>
    <row r="30" spans="2:12" x14ac:dyDescent="0.3">
      <c r="B30" s="46"/>
      <c r="C30" s="21"/>
      <c r="D30" s="21"/>
      <c r="E30" s="21"/>
      <c r="F30" s="48"/>
      <c r="G30" s="158"/>
      <c r="H30" s="21"/>
      <c r="I30" s="21"/>
      <c r="J30" s="21"/>
      <c r="K30" s="21"/>
      <c r="L30" s="48"/>
    </row>
    <row r="31" spans="2:12" x14ac:dyDescent="0.3">
      <c r="B31" s="46"/>
      <c r="C31" s="21"/>
      <c r="D31" s="21"/>
      <c r="E31" s="21"/>
      <c r="F31" s="48"/>
      <c r="G31" s="158"/>
      <c r="H31" s="21"/>
      <c r="I31" s="21"/>
      <c r="J31" s="21"/>
      <c r="K31" s="21"/>
      <c r="L31" s="48"/>
    </row>
    <row r="32" spans="2:12" x14ac:dyDescent="0.3">
      <c r="B32" s="46"/>
      <c r="C32" s="21"/>
      <c r="D32" s="21"/>
      <c r="E32" s="21"/>
      <c r="F32" s="48"/>
      <c r="G32" s="158"/>
      <c r="H32" s="21"/>
      <c r="I32" s="21"/>
      <c r="J32" s="21"/>
      <c r="K32" s="21"/>
      <c r="L32" s="48"/>
    </row>
    <row r="33" spans="2:12" x14ac:dyDescent="0.3">
      <c r="B33" s="50"/>
      <c r="C33" s="1"/>
      <c r="D33" s="1"/>
      <c r="E33" s="1"/>
      <c r="F33" s="51"/>
      <c r="G33" s="256"/>
      <c r="H33" s="1"/>
      <c r="I33" s="1"/>
      <c r="J33" s="1"/>
      <c r="K33" s="1"/>
      <c r="L33" s="51"/>
    </row>
    <row r="34" spans="2:12" x14ac:dyDescent="0.3">
      <c r="B34" s="277" t="s">
        <v>887</v>
      </c>
      <c r="C34" s="279"/>
      <c r="D34" s="277"/>
      <c r="E34" s="278"/>
      <c r="F34" s="283" t="s">
        <v>888</v>
      </c>
      <c r="G34" s="258" t="s">
        <v>893</v>
      </c>
      <c r="H34" s="33"/>
      <c r="I34" s="33"/>
      <c r="J34" s="33"/>
      <c r="K34" s="33"/>
      <c r="L34" s="34"/>
    </row>
    <row r="35" spans="2:12" x14ac:dyDescent="0.3">
      <c r="B35" s="20"/>
      <c r="C35" s="34"/>
      <c r="D35" s="20"/>
      <c r="E35" s="33"/>
      <c r="F35" s="34"/>
      <c r="G35" s="255"/>
      <c r="H35" s="44"/>
      <c r="I35" s="44"/>
      <c r="J35" s="44"/>
      <c r="K35" s="44"/>
      <c r="L35" s="45"/>
    </row>
    <row r="36" spans="2:12" x14ac:dyDescent="0.3">
      <c r="B36" s="277" t="s">
        <v>889</v>
      </c>
      <c r="C36" s="279"/>
      <c r="D36" s="277"/>
      <c r="E36" s="278"/>
      <c r="F36" s="283" t="s">
        <v>890</v>
      </c>
      <c r="G36" s="158"/>
      <c r="H36" s="21"/>
      <c r="I36" s="21"/>
      <c r="J36" s="21"/>
      <c r="K36" s="21"/>
      <c r="L36" s="48"/>
    </row>
    <row r="37" spans="2:12" x14ac:dyDescent="0.3">
      <c r="B37" s="20"/>
      <c r="C37" s="34"/>
      <c r="D37" s="20"/>
      <c r="E37" s="33"/>
      <c r="F37" s="34"/>
      <c r="G37" s="158"/>
      <c r="H37" s="21" t="s">
        <v>914</v>
      </c>
      <c r="I37" s="21"/>
      <c r="J37" s="21"/>
      <c r="K37" s="21"/>
      <c r="L37" s="48"/>
    </row>
    <row r="38" spans="2:12" x14ac:dyDescent="0.3">
      <c r="B38" s="277" t="s">
        <v>891</v>
      </c>
      <c r="C38" s="279"/>
      <c r="D38" s="277"/>
      <c r="E38" s="278"/>
      <c r="F38" s="283" t="s">
        <v>892</v>
      </c>
      <c r="G38" s="158"/>
      <c r="H38" s="21"/>
      <c r="I38" s="21"/>
      <c r="J38" s="21"/>
      <c r="K38" s="21"/>
      <c r="L38" s="48"/>
    </row>
    <row r="39" spans="2:12" x14ac:dyDescent="0.3">
      <c r="B39" s="20"/>
      <c r="C39" s="34"/>
      <c r="D39" s="20"/>
      <c r="E39" s="33"/>
      <c r="F39" s="34"/>
      <c r="G39" s="256"/>
      <c r="H39" s="1"/>
      <c r="I39" s="1"/>
      <c r="J39" s="1"/>
      <c r="K39" s="1"/>
      <c r="L39" s="51"/>
    </row>
    <row r="40" spans="2:12" ht="43.2" x14ac:dyDescent="0.3">
      <c r="B40" s="277" t="s">
        <v>895</v>
      </c>
      <c r="C40" s="278"/>
      <c r="D40" s="278"/>
      <c r="E40" s="279"/>
      <c r="F40" s="277" t="s">
        <v>896</v>
      </c>
      <c r="G40" s="280"/>
      <c r="H40" s="278"/>
      <c r="I40" s="278"/>
      <c r="J40" s="279"/>
      <c r="K40" s="281" t="s">
        <v>918</v>
      </c>
      <c r="L40" s="282" t="s">
        <v>897</v>
      </c>
    </row>
    <row r="41" spans="2:12" x14ac:dyDescent="0.3">
      <c r="B41" s="43"/>
      <c r="C41" s="45"/>
      <c r="D41" s="21"/>
      <c r="E41" s="48"/>
      <c r="F41" s="46"/>
      <c r="G41" s="49"/>
      <c r="H41" s="21"/>
      <c r="I41" s="21"/>
      <c r="J41" s="48"/>
      <c r="K41" s="38"/>
      <c r="L41" s="48"/>
    </row>
    <row r="42" spans="2:12" x14ac:dyDescent="0.3">
      <c r="B42" s="46"/>
      <c r="C42" s="48"/>
      <c r="D42" s="21" t="s">
        <v>915</v>
      </c>
      <c r="E42" s="48"/>
      <c r="F42" s="46"/>
      <c r="G42" s="49"/>
      <c r="H42" s="21"/>
      <c r="I42" s="21"/>
      <c r="J42" s="48"/>
      <c r="K42" s="71"/>
      <c r="L42" s="48"/>
    </row>
    <row r="43" spans="2:12" x14ac:dyDescent="0.3">
      <c r="B43" s="46"/>
      <c r="C43" s="48"/>
      <c r="D43" s="21" t="s">
        <v>916</v>
      </c>
      <c r="E43" s="48"/>
      <c r="F43" s="46"/>
      <c r="G43" s="49" t="s">
        <v>917</v>
      </c>
      <c r="H43" s="21"/>
      <c r="I43" s="21"/>
      <c r="J43" s="48"/>
      <c r="K43" s="71"/>
      <c r="L43" s="48"/>
    </row>
    <row r="44" spans="2:12" x14ac:dyDescent="0.3">
      <c r="B44" s="46"/>
      <c r="C44" s="48"/>
      <c r="D44" s="21"/>
      <c r="E44" s="48"/>
      <c r="F44" s="46"/>
      <c r="G44" s="49"/>
      <c r="H44" s="21"/>
      <c r="I44" s="21"/>
      <c r="J44" s="48"/>
      <c r="K44" s="71"/>
      <c r="L44" s="48"/>
    </row>
    <row r="45" spans="2:12" x14ac:dyDescent="0.3">
      <c r="B45" s="46"/>
      <c r="C45" s="48"/>
      <c r="D45" s="21"/>
      <c r="E45" s="48"/>
      <c r="F45" s="46"/>
      <c r="G45" s="49"/>
      <c r="H45" s="21"/>
      <c r="I45" s="21"/>
      <c r="J45" s="48"/>
      <c r="K45" s="71"/>
      <c r="L45" s="48"/>
    </row>
    <row r="46" spans="2:12" x14ac:dyDescent="0.3">
      <c r="B46" s="46"/>
      <c r="C46" s="48"/>
      <c r="D46" s="21"/>
      <c r="E46" s="48"/>
      <c r="F46" s="46"/>
      <c r="G46" s="49"/>
      <c r="H46" s="21"/>
      <c r="I46" s="21"/>
      <c r="J46" s="48"/>
      <c r="K46" s="71"/>
      <c r="L46" s="48"/>
    </row>
    <row r="47" spans="2:12" x14ac:dyDescent="0.3">
      <c r="B47" s="46"/>
      <c r="C47" s="48"/>
      <c r="D47" s="21"/>
      <c r="E47" s="48"/>
      <c r="F47" s="46"/>
      <c r="G47" s="49"/>
      <c r="H47" s="21"/>
      <c r="I47" s="21"/>
      <c r="J47" s="48"/>
      <c r="K47" s="71"/>
      <c r="L47" s="48"/>
    </row>
    <row r="48" spans="2:12" x14ac:dyDescent="0.3">
      <c r="B48" s="46"/>
      <c r="C48" s="48"/>
      <c r="D48" s="21"/>
      <c r="E48" s="48"/>
      <c r="F48" s="46"/>
      <c r="G48" s="49"/>
      <c r="H48" s="21"/>
      <c r="I48" s="21"/>
      <c r="J48" s="48"/>
      <c r="K48" s="71"/>
      <c r="L48" s="48"/>
    </row>
    <row r="49" spans="2:12" x14ac:dyDescent="0.3">
      <c r="B49" s="46"/>
      <c r="C49" s="48"/>
      <c r="D49" s="21"/>
      <c r="E49" s="48"/>
      <c r="F49" s="46"/>
      <c r="G49" s="49"/>
      <c r="H49" s="21"/>
      <c r="I49" s="21"/>
      <c r="J49" s="48"/>
      <c r="K49" s="71"/>
      <c r="L49" s="48"/>
    </row>
    <row r="50" spans="2:12" x14ac:dyDescent="0.3">
      <c r="B50" s="46"/>
      <c r="C50" s="48"/>
      <c r="D50" s="21"/>
      <c r="E50" s="48"/>
      <c r="F50" s="46"/>
      <c r="G50" s="49"/>
      <c r="H50" s="21"/>
      <c r="I50" s="21"/>
      <c r="J50" s="48"/>
      <c r="K50" s="71"/>
      <c r="L50" s="48"/>
    </row>
    <row r="51" spans="2:12" x14ac:dyDescent="0.3">
      <c r="B51" s="46"/>
      <c r="C51" s="48"/>
      <c r="D51" s="21"/>
      <c r="E51" s="48"/>
      <c r="F51" s="46"/>
      <c r="G51" s="49"/>
      <c r="H51" s="21"/>
      <c r="I51" s="21"/>
      <c r="J51" s="48"/>
      <c r="K51" s="71"/>
      <c r="L51" s="48"/>
    </row>
    <row r="52" spans="2:12" x14ac:dyDescent="0.3">
      <c r="B52" s="46"/>
      <c r="C52" s="48"/>
      <c r="D52" s="21"/>
      <c r="E52" s="48"/>
      <c r="F52" s="46"/>
      <c r="G52" s="49"/>
      <c r="H52" s="21"/>
      <c r="I52" s="21"/>
      <c r="J52" s="48"/>
      <c r="K52" s="71"/>
      <c r="L52" s="48"/>
    </row>
    <row r="53" spans="2:12" x14ac:dyDescent="0.3">
      <c r="B53" s="46"/>
      <c r="C53" s="48"/>
      <c r="D53" s="21"/>
      <c r="E53" s="48"/>
      <c r="F53" s="46"/>
      <c r="G53" s="49"/>
      <c r="H53" s="21"/>
      <c r="I53" s="21"/>
      <c r="J53" s="48"/>
      <c r="K53" s="71"/>
      <c r="L53" s="48"/>
    </row>
    <row r="54" spans="2:12" x14ac:dyDescent="0.3">
      <c r="B54" s="50"/>
      <c r="C54" s="1"/>
      <c r="D54" s="1"/>
      <c r="E54" s="51"/>
      <c r="F54" s="50"/>
      <c r="G54" s="161"/>
      <c r="H54" s="1"/>
      <c r="I54" s="1"/>
      <c r="J54" s="51"/>
      <c r="K54" s="72"/>
      <c r="L54" s="51"/>
    </row>
    <row r="55" spans="2:12" x14ac:dyDescent="0.3">
      <c r="B55" s="21"/>
      <c r="C55" s="21"/>
      <c r="D55" s="21"/>
      <c r="E55" s="21"/>
      <c r="F55" s="21"/>
      <c r="G55" s="49"/>
      <c r="H55" s="21"/>
      <c r="I55" s="21"/>
      <c r="J55" s="21"/>
      <c r="K55" s="21"/>
      <c r="L55" s="21"/>
    </row>
    <row r="56" spans="2:12" x14ac:dyDescent="0.3">
      <c r="B56" s="132" t="s">
        <v>898</v>
      </c>
      <c r="C56" s="20"/>
      <c r="D56" s="257" t="s">
        <v>899</v>
      </c>
      <c r="E56" s="20"/>
      <c r="F56" s="257" t="s">
        <v>900</v>
      </c>
      <c r="H56" s="21"/>
      <c r="I56" s="49"/>
      <c r="J56" s="21"/>
      <c r="K56" s="49"/>
    </row>
    <row r="57" spans="2:12" x14ac:dyDescent="0.3">
      <c r="B57" s="3"/>
      <c r="C57" s="20"/>
      <c r="D57" s="34"/>
      <c r="E57" s="20"/>
      <c r="F57" s="34"/>
      <c r="H57" s="21"/>
      <c r="I57" s="21"/>
      <c r="J57" s="21"/>
      <c r="K57" s="21"/>
    </row>
    <row r="59" spans="2:12" x14ac:dyDescent="0.3">
      <c r="B59" s="20"/>
      <c r="C59" s="33"/>
      <c r="D59" s="34"/>
    </row>
    <row r="60" spans="2:12" x14ac:dyDescent="0.3">
      <c r="B60" s="21" t="s">
        <v>902</v>
      </c>
      <c r="C60" s="21"/>
      <c r="D60" s="21"/>
    </row>
    <row r="61" spans="2:12" ht="28.8" x14ac:dyDescent="0.3">
      <c r="B61" s="125" t="s">
        <v>901</v>
      </c>
      <c r="C61" s="3" t="s">
        <v>905</v>
      </c>
      <c r="D61" s="260" t="s">
        <v>842</v>
      </c>
      <c r="E61" s="94" t="s">
        <v>903</v>
      </c>
    </row>
  </sheetData>
  <hyperlinks>
    <hyperlink ref="A1" location="Menu!A1" display="Menu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showGridLines="0" workbookViewId="0"/>
  </sheetViews>
  <sheetFormatPr defaultRowHeight="14.4" x14ac:dyDescent="0.3"/>
  <cols>
    <col min="2" max="2" width="12.5546875" bestFit="1" customWidth="1"/>
    <col min="3" max="3" width="17.33203125" bestFit="1" customWidth="1"/>
    <col min="4" max="4" width="9.6640625" customWidth="1"/>
    <col min="5" max="5" width="10.77734375" customWidth="1"/>
    <col min="6" max="6" width="8.88671875" customWidth="1"/>
    <col min="7" max="7" width="9.21875" style="32" bestFit="1" customWidth="1"/>
    <col min="8" max="8" width="12.33203125" bestFit="1" customWidth="1"/>
    <col min="9" max="9" width="9.77734375" bestFit="1" customWidth="1"/>
    <col min="10" max="10" width="9" bestFit="1" customWidth="1"/>
    <col min="11" max="11" width="10.88671875" bestFit="1" customWidth="1"/>
    <col min="12" max="12" width="14.33203125" bestFit="1" customWidth="1"/>
    <col min="13" max="13" width="12.5546875" bestFit="1" customWidth="1"/>
    <col min="14" max="14" width="11.44140625" bestFit="1" customWidth="1"/>
  </cols>
  <sheetData>
    <row r="1" spans="1:14" x14ac:dyDescent="0.3">
      <c r="A1" s="2" t="s">
        <v>119</v>
      </c>
    </row>
    <row r="2" spans="1:14" x14ac:dyDescent="0.3">
      <c r="J2" s="21"/>
      <c r="K2" s="21"/>
      <c r="L2" s="21"/>
    </row>
    <row r="3" spans="1:14" x14ac:dyDescent="0.3">
      <c r="B3" s="41"/>
      <c r="C3" s="41"/>
      <c r="D3" s="41"/>
      <c r="E3" s="41"/>
      <c r="F3" s="41"/>
      <c r="G3" s="41" t="s">
        <v>1555</v>
      </c>
      <c r="H3" s="41"/>
      <c r="I3" s="41"/>
      <c r="J3" s="41"/>
      <c r="K3" s="41"/>
      <c r="L3" s="41"/>
      <c r="M3" s="42"/>
    </row>
    <row r="4" spans="1:14" x14ac:dyDescent="0.3">
      <c r="G4"/>
    </row>
    <row r="5" spans="1:14" x14ac:dyDescent="0.3">
      <c r="G5"/>
      <c r="L5" s="38"/>
      <c r="M5" s="43"/>
    </row>
    <row r="6" spans="1:14" x14ac:dyDescent="0.3">
      <c r="B6" s="6" t="s">
        <v>565</v>
      </c>
      <c r="C6" s="6" t="s">
        <v>629</v>
      </c>
      <c r="D6" s="6" t="s">
        <v>92</v>
      </c>
      <c r="E6" s="6" t="s">
        <v>634</v>
      </c>
      <c r="F6" s="132" t="s">
        <v>529</v>
      </c>
      <c r="G6" s="6" t="s">
        <v>115</v>
      </c>
      <c r="H6" s="6" t="s">
        <v>114</v>
      </c>
      <c r="I6" s="6" t="s">
        <v>34</v>
      </c>
      <c r="J6" s="6" t="s">
        <v>35</v>
      </c>
      <c r="K6" s="6" t="s">
        <v>36</v>
      </c>
      <c r="L6" s="185" t="s">
        <v>838</v>
      </c>
      <c r="M6" s="185" t="s">
        <v>839</v>
      </c>
      <c r="N6" s="185" t="s">
        <v>118</v>
      </c>
    </row>
    <row r="7" spans="1:14" x14ac:dyDescent="0.3">
      <c r="B7" s="3" t="s">
        <v>776</v>
      </c>
      <c r="C7" s="3" t="s">
        <v>777</v>
      </c>
      <c r="D7" s="3" t="s">
        <v>778</v>
      </c>
      <c r="E7" s="3" t="s">
        <v>778</v>
      </c>
      <c r="F7" s="132"/>
      <c r="G7" s="3" t="s">
        <v>779</v>
      </c>
      <c r="H7" s="3" t="s">
        <v>371</v>
      </c>
      <c r="I7" s="3" t="s">
        <v>372</v>
      </c>
      <c r="J7" s="3" t="s">
        <v>373</v>
      </c>
      <c r="K7" s="3" t="s">
        <v>780</v>
      </c>
      <c r="L7" s="239"/>
      <c r="M7" s="239"/>
      <c r="N7" s="109" t="s">
        <v>1539</v>
      </c>
    </row>
    <row r="8" spans="1:14" x14ac:dyDescent="0.3">
      <c r="B8" s="3" t="s">
        <v>1542</v>
      </c>
      <c r="C8" s="3" t="s">
        <v>1543</v>
      </c>
      <c r="D8" s="3" t="s">
        <v>47</v>
      </c>
      <c r="E8" s="3" t="s">
        <v>47</v>
      </c>
      <c r="F8" s="132" t="s">
        <v>1544</v>
      </c>
      <c r="G8" s="3" t="s">
        <v>1545</v>
      </c>
      <c r="H8" s="3" t="s">
        <v>98</v>
      </c>
      <c r="I8" s="3" t="s">
        <v>684</v>
      </c>
      <c r="J8" s="3" t="s">
        <v>680</v>
      </c>
      <c r="K8" s="3" t="s">
        <v>1546</v>
      </c>
      <c r="L8" s="239"/>
      <c r="M8" s="239"/>
      <c r="N8" s="3"/>
    </row>
    <row r="9" spans="1:14" x14ac:dyDescent="0.3">
      <c r="B9" s="3"/>
      <c r="C9" s="3"/>
      <c r="D9" s="3"/>
      <c r="E9" s="3"/>
      <c r="F9" s="132"/>
      <c r="G9" s="3"/>
      <c r="H9" s="3"/>
      <c r="I9" s="3"/>
      <c r="J9" s="3"/>
      <c r="K9" s="3"/>
      <c r="L9" s="239"/>
      <c r="M9" s="239"/>
      <c r="N9" s="3"/>
    </row>
    <row r="10" spans="1:14" x14ac:dyDescent="0.3">
      <c r="B10" s="3"/>
      <c r="C10" s="3"/>
      <c r="D10" s="3"/>
      <c r="E10" s="3"/>
      <c r="F10" s="132"/>
      <c r="G10" s="3"/>
      <c r="H10" s="3"/>
      <c r="I10" s="3"/>
      <c r="J10" s="3"/>
      <c r="K10" s="3"/>
      <c r="L10" s="3"/>
      <c r="M10" s="3"/>
      <c r="N10" s="3"/>
    </row>
    <row r="16" spans="1:14" x14ac:dyDescent="0.3">
      <c r="C16" s="132" t="s">
        <v>1540</v>
      </c>
      <c r="D16" s="336" t="s">
        <v>1552</v>
      </c>
      <c r="E16" s="34"/>
    </row>
    <row r="17" spans="3:5" x14ac:dyDescent="0.3">
      <c r="C17" s="132" t="s">
        <v>1541</v>
      </c>
      <c r="D17" s="336" t="s">
        <v>1552</v>
      </c>
      <c r="E17" s="34"/>
    </row>
    <row r="18" spans="3:5" x14ac:dyDescent="0.3">
      <c r="C18" s="132" t="s">
        <v>1547</v>
      </c>
      <c r="D18" s="336" t="s">
        <v>1552</v>
      </c>
      <c r="E18" s="34"/>
    </row>
    <row r="19" spans="3:5" x14ac:dyDescent="0.3">
      <c r="C19" s="132" t="s">
        <v>1548</v>
      </c>
      <c r="D19" s="336" t="s">
        <v>1552</v>
      </c>
      <c r="E19" s="34"/>
    </row>
    <row r="20" spans="3:5" x14ac:dyDescent="0.3">
      <c r="C20" s="132" t="s">
        <v>1549</v>
      </c>
      <c r="D20" s="336" t="s">
        <v>1552</v>
      </c>
      <c r="E20" s="34"/>
    </row>
    <row r="21" spans="3:5" x14ac:dyDescent="0.3">
      <c r="C21" s="132" t="s">
        <v>1550</v>
      </c>
      <c r="D21" s="336" t="s">
        <v>1552</v>
      </c>
      <c r="E21" s="34"/>
    </row>
    <row r="22" spans="3:5" x14ac:dyDescent="0.3">
      <c r="C22" s="132" t="s">
        <v>1551</v>
      </c>
      <c r="D22" s="336" t="s">
        <v>1552</v>
      </c>
      <c r="E22" s="34"/>
    </row>
    <row r="23" spans="3:5" x14ac:dyDescent="0.3">
      <c r="C23" s="135" t="s">
        <v>1553</v>
      </c>
      <c r="D23" s="336" t="s">
        <v>1552</v>
      </c>
      <c r="E23" s="34"/>
    </row>
    <row r="24" spans="3:5" x14ac:dyDescent="0.3">
      <c r="C24" s="135" t="s">
        <v>1554</v>
      </c>
      <c r="D24" s="336" t="s">
        <v>1552</v>
      </c>
      <c r="E24" s="34"/>
    </row>
  </sheetData>
  <hyperlinks>
    <hyperlink ref="A1" location="Menu!A1" display="Menu"/>
  </hyperlink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showGridLines="0" workbookViewId="0"/>
  </sheetViews>
  <sheetFormatPr defaultRowHeight="14.4" x14ac:dyDescent="0.3"/>
  <cols>
    <col min="2" max="2" width="12.5546875" bestFit="1" customWidth="1"/>
    <col min="3" max="3" width="16" customWidth="1"/>
    <col min="4" max="4" width="9.6640625" customWidth="1"/>
    <col min="5" max="5" width="10.77734375" customWidth="1"/>
    <col min="6" max="6" width="8.88671875" customWidth="1"/>
    <col min="7" max="7" width="9.21875" style="32" bestFit="1" customWidth="1"/>
    <col min="8" max="8" width="12.33203125" bestFit="1" customWidth="1"/>
    <col min="9" max="9" width="9.77734375" bestFit="1" customWidth="1"/>
    <col min="10" max="10" width="9" bestFit="1" customWidth="1"/>
    <col min="11" max="11" width="17.33203125" bestFit="1" customWidth="1"/>
    <col min="12" max="12" width="10.88671875" bestFit="1" customWidth="1"/>
    <col min="13" max="13" width="10.88671875" customWidth="1"/>
    <col min="14" max="14" width="14.33203125" bestFit="1" customWidth="1"/>
    <col min="15" max="15" width="12.5546875" bestFit="1" customWidth="1"/>
    <col min="16" max="16" width="11.44140625" bestFit="1" customWidth="1"/>
    <col min="17" max="17" width="12.44140625" bestFit="1" customWidth="1"/>
  </cols>
  <sheetData>
    <row r="1" spans="1:17" x14ac:dyDescent="0.3">
      <c r="A1" s="2" t="s">
        <v>119</v>
      </c>
    </row>
    <row r="2" spans="1:17" x14ac:dyDescent="0.3">
      <c r="J2" s="21"/>
      <c r="K2" s="21"/>
      <c r="L2" s="21"/>
      <c r="M2" s="21"/>
      <c r="N2" s="21"/>
    </row>
    <row r="3" spans="1:17" x14ac:dyDescent="0.3">
      <c r="B3" s="41"/>
      <c r="C3" s="41"/>
      <c r="D3" s="41"/>
      <c r="E3" s="41"/>
      <c r="F3" s="41"/>
      <c r="G3" s="41"/>
      <c r="H3" s="41"/>
      <c r="I3" s="41"/>
      <c r="J3" s="41"/>
      <c r="K3" s="41" t="s">
        <v>862</v>
      </c>
      <c r="L3" s="41"/>
      <c r="M3" s="41"/>
      <c r="N3" s="41"/>
      <c r="O3" s="42"/>
    </row>
    <row r="4" spans="1:17" x14ac:dyDescent="0.3">
      <c r="G4"/>
    </row>
    <row r="5" spans="1:17" x14ac:dyDescent="0.3">
      <c r="G5"/>
      <c r="N5" s="3"/>
      <c r="O5" s="20"/>
    </row>
    <row r="6" spans="1:17" x14ac:dyDescent="0.3">
      <c r="B6" s="6" t="s">
        <v>565</v>
      </c>
      <c r="C6" s="6" t="s">
        <v>629</v>
      </c>
      <c r="D6" s="6" t="s">
        <v>92</v>
      </c>
      <c r="E6" s="6" t="s">
        <v>634</v>
      </c>
      <c r="F6" s="132" t="s">
        <v>529</v>
      </c>
      <c r="G6" s="6" t="s">
        <v>115</v>
      </c>
      <c r="H6" s="6" t="s">
        <v>114</v>
      </c>
      <c r="I6" s="6" t="s">
        <v>34</v>
      </c>
      <c r="J6" s="6" t="s">
        <v>35</v>
      </c>
      <c r="K6" s="6" t="s">
        <v>860</v>
      </c>
      <c r="L6" s="6" t="s">
        <v>36</v>
      </c>
      <c r="M6" s="6" t="s">
        <v>830</v>
      </c>
      <c r="N6" s="241" t="s">
        <v>838</v>
      </c>
      <c r="O6" s="241" t="s">
        <v>839</v>
      </c>
      <c r="P6" s="232" t="s">
        <v>118</v>
      </c>
      <c r="Q6" s="233"/>
    </row>
    <row r="7" spans="1:17" x14ac:dyDescent="0.3">
      <c r="B7" s="3" t="s">
        <v>776</v>
      </c>
      <c r="C7" s="3" t="s">
        <v>777</v>
      </c>
      <c r="D7" s="3" t="s">
        <v>778</v>
      </c>
      <c r="E7" s="3" t="s">
        <v>778</v>
      </c>
      <c r="F7" s="132"/>
      <c r="G7" s="3" t="s">
        <v>779</v>
      </c>
      <c r="H7" s="3" t="s">
        <v>371</v>
      </c>
      <c r="I7" s="3" t="s">
        <v>372</v>
      </c>
      <c r="J7" s="3" t="s">
        <v>373</v>
      </c>
      <c r="K7" s="3" t="s">
        <v>393</v>
      </c>
      <c r="L7" s="3" t="s">
        <v>780</v>
      </c>
      <c r="M7" s="118"/>
      <c r="N7" s="239"/>
      <c r="O7" s="239"/>
      <c r="P7" s="2" t="s">
        <v>861</v>
      </c>
      <c r="Q7" s="2"/>
    </row>
    <row r="8" spans="1:17" x14ac:dyDescent="0.3">
      <c r="B8" s="3"/>
      <c r="C8" s="3"/>
      <c r="D8" s="3"/>
      <c r="E8" s="3"/>
      <c r="F8" s="132"/>
      <c r="G8" s="3"/>
      <c r="H8" s="3"/>
      <c r="I8" s="3"/>
      <c r="J8" s="3"/>
      <c r="K8" s="3"/>
      <c r="L8" s="3"/>
      <c r="M8" s="3"/>
      <c r="N8" s="239"/>
      <c r="O8" s="239"/>
      <c r="Q8" s="80"/>
    </row>
    <row r="9" spans="1:17" x14ac:dyDescent="0.3">
      <c r="B9" s="3"/>
      <c r="C9" s="3"/>
      <c r="D9" s="3"/>
      <c r="E9" s="3"/>
      <c r="F9" s="132"/>
      <c r="G9" s="3"/>
      <c r="H9" s="3"/>
      <c r="I9" s="3"/>
      <c r="J9" s="3"/>
      <c r="K9" s="3"/>
      <c r="L9" s="3"/>
      <c r="M9" s="3"/>
      <c r="N9" s="239"/>
      <c r="O9" s="239"/>
      <c r="Q9" s="80"/>
    </row>
    <row r="10" spans="1:17" x14ac:dyDescent="0.3">
      <c r="B10" s="3"/>
      <c r="C10" s="3"/>
      <c r="D10" s="3"/>
      <c r="E10" s="3"/>
      <c r="F10" s="132"/>
      <c r="G10" s="3"/>
      <c r="H10" s="3"/>
      <c r="I10" s="3"/>
      <c r="J10" s="3"/>
      <c r="K10" s="3"/>
      <c r="L10" s="3"/>
      <c r="M10" s="3"/>
      <c r="Q10" s="80"/>
    </row>
    <row r="12" spans="1:17" x14ac:dyDescent="0.3">
      <c r="B12" s="261"/>
      <c r="C12" s="254"/>
      <c r="D12" s="254"/>
      <c r="E12" s="254"/>
      <c r="F12" s="254"/>
      <c r="G12" s="254"/>
      <c r="H12" s="254"/>
      <c r="I12" s="254"/>
      <c r="J12" s="254"/>
      <c r="K12" s="254"/>
      <c r="L12" s="254"/>
      <c r="M12" s="14"/>
      <c r="N12" s="14"/>
      <c r="O12" s="14"/>
      <c r="P12" s="14"/>
    </row>
    <row r="13" spans="1:17" x14ac:dyDescent="0.3">
      <c r="B13" s="20" t="s">
        <v>911</v>
      </c>
      <c r="C13" s="33"/>
      <c r="D13" s="33"/>
      <c r="E13" s="33"/>
      <c r="F13" s="33"/>
      <c r="G13" s="258" t="s">
        <v>882</v>
      </c>
      <c r="H13" s="33"/>
      <c r="I13" s="33"/>
      <c r="J13" s="34"/>
      <c r="K13" s="33"/>
      <c r="L13" s="257" t="s">
        <v>883</v>
      </c>
      <c r="N13" s="94" t="s">
        <v>904</v>
      </c>
    </row>
    <row r="14" spans="1:17" x14ac:dyDescent="0.3">
      <c r="B14" s="262"/>
      <c r="C14" s="263"/>
      <c r="D14" s="263"/>
      <c r="E14" s="263"/>
      <c r="F14" s="264"/>
      <c r="G14" s="158"/>
      <c r="H14" s="21"/>
      <c r="I14" s="21"/>
      <c r="J14" s="48"/>
      <c r="K14" s="164"/>
      <c r="L14" s="178"/>
    </row>
    <row r="15" spans="1:17" x14ac:dyDescent="0.3">
      <c r="B15" s="265"/>
      <c r="C15" s="266"/>
      <c r="D15" s="266"/>
      <c r="E15" s="266"/>
      <c r="F15" s="266"/>
      <c r="G15" s="258" t="s">
        <v>884</v>
      </c>
      <c r="H15" s="33"/>
      <c r="I15" s="33"/>
      <c r="J15" s="33"/>
      <c r="K15" s="33"/>
      <c r="L15" s="34"/>
    </row>
    <row r="16" spans="1:17" x14ac:dyDescent="0.3">
      <c r="B16" s="265" t="s">
        <v>913</v>
      </c>
      <c r="C16" s="266"/>
      <c r="D16" s="266"/>
      <c r="E16" s="266"/>
      <c r="F16" s="266"/>
      <c r="G16" s="158"/>
      <c r="H16" s="21"/>
      <c r="I16" s="21"/>
      <c r="J16" s="21"/>
      <c r="K16" s="21"/>
      <c r="L16" s="48"/>
    </row>
    <row r="17" spans="2:12" x14ac:dyDescent="0.3">
      <c r="B17" s="265"/>
      <c r="C17" s="266"/>
      <c r="D17" s="266"/>
      <c r="E17" s="266"/>
      <c r="F17" s="266"/>
      <c r="G17" s="158"/>
      <c r="H17" s="21"/>
      <c r="I17" s="21"/>
      <c r="J17" s="21"/>
      <c r="K17" s="21"/>
      <c r="L17" s="48"/>
    </row>
    <row r="18" spans="2:12" x14ac:dyDescent="0.3">
      <c r="B18" s="265"/>
      <c r="C18" s="266"/>
      <c r="D18" s="266"/>
      <c r="E18" s="266"/>
      <c r="F18" s="266"/>
      <c r="G18" s="158"/>
      <c r="H18" s="21"/>
      <c r="I18" s="21"/>
      <c r="J18" s="21"/>
      <c r="K18" s="21"/>
      <c r="L18" s="48"/>
    </row>
    <row r="19" spans="2:12" x14ac:dyDescent="0.3">
      <c r="B19" s="267"/>
      <c r="C19" s="268"/>
      <c r="D19" s="268"/>
      <c r="E19" s="268"/>
      <c r="F19" s="268"/>
      <c r="G19" s="158"/>
      <c r="H19" s="21"/>
      <c r="I19" s="21"/>
      <c r="J19" s="21"/>
      <c r="K19" s="21"/>
      <c r="L19" s="48"/>
    </row>
    <row r="20" spans="2:12" x14ac:dyDescent="0.3">
      <c r="B20" s="20" t="s">
        <v>881</v>
      </c>
      <c r="C20" s="33"/>
      <c r="D20" s="33"/>
      <c r="E20" s="33"/>
      <c r="F20" s="33"/>
      <c r="G20" s="259" t="s">
        <v>886</v>
      </c>
      <c r="H20" s="44"/>
      <c r="I20" s="44"/>
      <c r="J20" s="44"/>
      <c r="K20" s="44"/>
      <c r="L20" s="45"/>
    </row>
    <row r="21" spans="2:12" x14ac:dyDescent="0.3">
      <c r="B21" s="271"/>
      <c r="C21" s="272"/>
      <c r="D21" s="272"/>
      <c r="E21" s="272"/>
      <c r="F21" s="272"/>
      <c r="G21" s="255"/>
      <c r="H21" s="44"/>
      <c r="I21" s="44"/>
      <c r="J21" s="44"/>
      <c r="K21" s="44"/>
      <c r="L21" s="45"/>
    </row>
    <row r="22" spans="2:12" x14ac:dyDescent="0.3">
      <c r="B22" s="273"/>
      <c r="C22" s="247"/>
      <c r="D22" s="247"/>
      <c r="E22" s="247"/>
      <c r="F22" s="247"/>
      <c r="G22" s="158"/>
      <c r="H22" s="21"/>
      <c r="I22" s="21"/>
      <c r="J22" s="21"/>
      <c r="K22" s="21"/>
      <c r="L22" s="48"/>
    </row>
    <row r="23" spans="2:12" x14ac:dyDescent="0.3">
      <c r="B23" s="273"/>
      <c r="C23" s="247"/>
      <c r="D23" s="247"/>
      <c r="E23" s="247"/>
      <c r="F23" s="247"/>
      <c r="G23" s="158"/>
      <c r="H23" s="21"/>
      <c r="I23" s="21"/>
      <c r="J23" s="21"/>
      <c r="K23" s="21"/>
      <c r="L23" s="48"/>
    </row>
    <row r="24" spans="2:12" x14ac:dyDescent="0.3">
      <c r="B24" s="273"/>
      <c r="C24" s="247"/>
      <c r="D24" s="247"/>
      <c r="E24" s="247"/>
      <c r="F24" s="247"/>
      <c r="G24" s="158"/>
      <c r="H24" s="21"/>
      <c r="I24" s="21"/>
      <c r="J24" s="21"/>
      <c r="K24" s="21"/>
      <c r="L24" s="48"/>
    </row>
    <row r="25" spans="2:12" x14ac:dyDescent="0.3">
      <c r="B25" s="273"/>
      <c r="C25" s="247"/>
      <c r="D25" s="247"/>
      <c r="E25" s="247"/>
      <c r="F25" s="247"/>
      <c r="G25" s="256"/>
      <c r="H25" s="1"/>
      <c r="I25" s="1"/>
      <c r="J25" s="1"/>
      <c r="K25" s="1"/>
      <c r="L25" s="51"/>
    </row>
    <row r="26" spans="2:12" x14ac:dyDescent="0.3">
      <c r="B26" s="274"/>
      <c r="C26" s="275"/>
      <c r="D26" s="275"/>
      <c r="E26" s="275"/>
      <c r="F26" s="276"/>
      <c r="G26" s="258" t="s">
        <v>885</v>
      </c>
      <c r="H26" s="33"/>
      <c r="I26" s="34"/>
      <c r="J26" s="21"/>
      <c r="K26" s="21"/>
      <c r="L26" s="48"/>
    </row>
    <row r="27" spans="2:12" x14ac:dyDescent="0.3">
      <c r="B27" s="20" t="s">
        <v>912</v>
      </c>
      <c r="C27" s="33"/>
      <c r="D27" s="33"/>
      <c r="E27" s="33"/>
      <c r="F27" s="34"/>
      <c r="G27" s="20" t="s">
        <v>880</v>
      </c>
      <c r="H27" s="33"/>
      <c r="I27" s="33"/>
      <c r="J27" s="33"/>
      <c r="K27" s="33"/>
      <c r="L27" s="34"/>
    </row>
    <row r="28" spans="2:12" x14ac:dyDescent="0.3">
      <c r="B28" s="262"/>
      <c r="C28" s="263"/>
      <c r="D28" s="263"/>
      <c r="E28" s="263"/>
      <c r="F28" s="264"/>
      <c r="G28" s="255"/>
      <c r="H28" s="44"/>
      <c r="I28" s="44"/>
      <c r="J28" s="44"/>
      <c r="K28" s="44"/>
      <c r="L28" s="45"/>
    </row>
    <row r="29" spans="2:12" x14ac:dyDescent="0.3">
      <c r="B29" s="265" t="s">
        <v>913</v>
      </c>
      <c r="C29" s="266"/>
      <c r="D29" s="266"/>
      <c r="E29" s="266"/>
      <c r="F29" s="270"/>
      <c r="G29" s="158"/>
      <c r="H29" s="21"/>
      <c r="I29" s="21"/>
      <c r="J29" s="21"/>
      <c r="K29" s="21"/>
      <c r="L29" s="48"/>
    </row>
    <row r="30" spans="2:12" x14ac:dyDescent="0.3">
      <c r="B30" s="265"/>
      <c r="C30" s="266"/>
      <c r="D30" s="266"/>
      <c r="E30" s="266"/>
      <c r="F30" s="270"/>
      <c r="G30" s="158"/>
      <c r="H30" s="21"/>
      <c r="I30" s="21"/>
      <c r="J30" s="21"/>
      <c r="K30" s="21"/>
      <c r="L30" s="48"/>
    </row>
    <row r="31" spans="2:12" x14ac:dyDescent="0.3">
      <c r="B31" s="265"/>
      <c r="C31" s="266"/>
      <c r="D31" s="266"/>
      <c r="E31" s="266"/>
      <c r="F31" s="270"/>
      <c r="G31" s="158"/>
      <c r="H31" s="21"/>
      <c r="I31" s="21"/>
      <c r="J31" s="21"/>
      <c r="K31" s="21"/>
      <c r="L31" s="48"/>
    </row>
    <row r="32" spans="2:12" x14ac:dyDescent="0.3">
      <c r="B32" s="265"/>
      <c r="C32" s="266"/>
      <c r="D32" s="266"/>
      <c r="E32" s="266"/>
      <c r="F32" s="270"/>
      <c r="G32" s="158"/>
      <c r="H32" s="21"/>
      <c r="I32" s="21"/>
      <c r="J32" s="21"/>
      <c r="K32" s="21"/>
      <c r="L32" s="48"/>
    </row>
    <row r="33" spans="2:12" x14ac:dyDescent="0.3">
      <c r="B33" s="267"/>
      <c r="C33" s="268"/>
      <c r="D33" s="268"/>
      <c r="E33" s="268"/>
      <c r="F33" s="269"/>
      <c r="G33" s="256"/>
      <c r="H33" s="1"/>
      <c r="I33" s="1"/>
      <c r="J33" s="1"/>
      <c r="K33" s="1"/>
      <c r="L33" s="51"/>
    </row>
    <row r="34" spans="2:12" x14ac:dyDescent="0.3">
      <c r="B34" s="20" t="s">
        <v>887</v>
      </c>
      <c r="C34" s="34"/>
      <c r="D34" s="20"/>
      <c r="E34" s="33"/>
      <c r="F34" s="257" t="s">
        <v>888</v>
      </c>
      <c r="G34" s="258" t="s">
        <v>893</v>
      </c>
      <c r="H34" s="33"/>
      <c r="I34" s="33"/>
      <c r="J34" s="33"/>
      <c r="K34" s="33"/>
      <c r="L34" s="34"/>
    </row>
    <row r="35" spans="2:12" x14ac:dyDescent="0.3">
      <c r="B35" s="20"/>
      <c r="C35" s="34"/>
      <c r="D35" s="20"/>
      <c r="E35" s="33"/>
      <c r="F35" s="34"/>
      <c r="G35" s="255"/>
      <c r="H35" s="44"/>
      <c r="I35" s="44"/>
      <c r="J35" s="44"/>
      <c r="K35" s="44"/>
      <c r="L35" s="45"/>
    </row>
    <row r="36" spans="2:12" x14ac:dyDescent="0.3">
      <c r="B36" s="20" t="s">
        <v>889</v>
      </c>
      <c r="C36" s="34"/>
      <c r="D36" s="20"/>
      <c r="E36" s="33"/>
      <c r="F36" s="257" t="s">
        <v>890</v>
      </c>
      <c r="G36" s="158"/>
      <c r="H36" s="21"/>
      <c r="I36" s="21"/>
      <c r="J36" s="21"/>
      <c r="K36" s="21"/>
      <c r="L36" s="48"/>
    </row>
    <row r="37" spans="2:12" x14ac:dyDescent="0.3">
      <c r="B37" s="20"/>
      <c r="C37" s="34"/>
      <c r="D37" s="20"/>
      <c r="E37" s="33"/>
      <c r="F37" s="34"/>
      <c r="G37" s="158"/>
      <c r="H37" s="21"/>
      <c r="I37" s="21"/>
      <c r="J37" s="21"/>
      <c r="K37" s="21"/>
      <c r="L37" s="48"/>
    </row>
    <row r="38" spans="2:12" x14ac:dyDescent="0.3">
      <c r="B38" s="20" t="s">
        <v>891</v>
      </c>
      <c r="C38" s="34"/>
      <c r="D38" s="20"/>
      <c r="E38" s="33"/>
      <c r="F38" s="257" t="s">
        <v>892</v>
      </c>
      <c r="G38" s="158"/>
      <c r="H38" s="21"/>
      <c r="I38" s="21"/>
      <c r="J38" s="21"/>
      <c r="K38" s="21"/>
      <c r="L38" s="48"/>
    </row>
    <row r="39" spans="2:12" x14ac:dyDescent="0.3">
      <c r="B39" s="20"/>
      <c r="C39" s="34"/>
      <c r="D39" s="20"/>
      <c r="E39" s="33"/>
      <c r="F39" s="34"/>
      <c r="G39" s="256"/>
      <c r="H39" s="1"/>
      <c r="I39" s="1"/>
      <c r="J39" s="1"/>
      <c r="K39" s="1"/>
      <c r="L39" s="51"/>
    </row>
    <row r="40" spans="2:12" ht="43.2" x14ac:dyDescent="0.3">
      <c r="B40" s="20" t="s">
        <v>895</v>
      </c>
      <c r="C40" s="33"/>
      <c r="D40" s="33"/>
      <c r="E40" s="34"/>
      <c r="F40" s="20" t="s">
        <v>896</v>
      </c>
      <c r="G40" s="127"/>
      <c r="H40" s="33"/>
      <c r="I40" s="33"/>
      <c r="J40" s="34"/>
      <c r="K40" s="3" t="s">
        <v>873</v>
      </c>
      <c r="L40" s="100" t="s">
        <v>897</v>
      </c>
    </row>
    <row r="41" spans="2:12" x14ac:dyDescent="0.3">
      <c r="B41" s="46"/>
      <c r="C41" s="21"/>
      <c r="D41" s="21"/>
      <c r="E41" s="48"/>
      <c r="F41" s="46"/>
      <c r="G41" s="49"/>
      <c r="H41" s="21"/>
      <c r="I41" s="21"/>
      <c r="J41" s="48"/>
      <c r="K41" s="38"/>
      <c r="L41" s="48"/>
    </row>
    <row r="42" spans="2:12" x14ac:dyDescent="0.3">
      <c r="B42" s="46"/>
      <c r="C42" s="21"/>
      <c r="D42" s="21"/>
      <c r="E42" s="48"/>
      <c r="F42" s="46"/>
      <c r="G42" s="49"/>
      <c r="H42" s="21"/>
      <c r="I42" s="21"/>
      <c r="J42" s="48"/>
      <c r="K42" s="71"/>
      <c r="L42" s="48"/>
    </row>
    <row r="43" spans="2:12" x14ac:dyDescent="0.3">
      <c r="B43" s="46"/>
      <c r="C43" s="21"/>
      <c r="D43" s="21"/>
      <c r="E43" s="48"/>
      <c r="F43" s="46"/>
      <c r="G43" s="49"/>
      <c r="H43" s="21"/>
      <c r="I43" s="21"/>
      <c r="J43" s="48"/>
      <c r="K43" s="71"/>
      <c r="L43" s="48"/>
    </row>
    <row r="44" spans="2:12" x14ac:dyDescent="0.3">
      <c r="B44" s="46"/>
      <c r="C44" s="21"/>
      <c r="D44" s="21"/>
      <c r="E44" s="48"/>
      <c r="F44" s="46"/>
      <c r="G44" s="49"/>
      <c r="H44" s="21"/>
      <c r="I44" s="21"/>
      <c r="J44" s="48"/>
      <c r="K44" s="71"/>
      <c r="L44" s="48"/>
    </row>
    <row r="45" spans="2:12" x14ac:dyDescent="0.3">
      <c r="B45" s="46"/>
      <c r="C45" s="21"/>
      <c r="D45" s="21"/>
      <c r="E45" s="48"/>
      <c r="F45" s="46"/>
      <c r="G45" s="49"/>
      <c r="H45" s="21"/>
      <c r="I45" s="21"/>
      <c r="J45" s="48"/>
      <c r="K45" s="71"/>
      <c r="L45" s="48"/>
    </row>
    <row r="46" spans="2:12" x14ac:dyDescent="0.3">
      <c r="B46" s="46"/>
      <c r="C46" s="21"/>
      <c r="D46" s="21"/>
      <c r="E46" s="48"/>
      <c r="F46" s="46"/>
      <c r="G46" s="49"/>
      <c r="H46" s="21"/>
      <c r="I46" s="21"/>
      <c r="J46" s="48"/>
      <c r="K46" s="71"/>
      <c r="L46" s="48"/>
    </row>
    <row r="47" spans="2:12" x14ac:dyDescent="0.3">
      <c r="B47" s="46"/>
      <c r="C47" s="21"/>
      <c r="D47" s="21"/>
      <c r="E47" s="48"/>
      <c r="F47" s="46"/>
      <c r="G47" s="49"/>
      <c r="H47" s="21"/>
      <c r="I47" s="21"/>
      <c r="J47" s="48"/>
      <c r="K47" s="71"/>
      <c r="L47" s="48"/>
    </row>
    <row r="48" spans="2:12" x14ac:dyDescent="0.3">
      <c r="B48" s="46"/>
      <c r="C48" s="21"/>
      <c r="D48" s="21"/>
      <c r="E48" s="48"/>
      <c r="F48" s="46"/>
      <c r="G48" s="49"/>
      <c r="H48" s="21"/>
      <c r="I48" s="21"/>
      <c r="J48" s="48"/>
      <c r="K48" s="71"/>
      <c r="L48" s="48"/>
    </row>
    <row r="49" spans="2:12" x14ac:dyDescent="0.3">
      <c r="B49" s="46"/>
      <c r="C49" s="21"/>
      <c r="D49" s="21"/>
      <c r="E49" s="48"/>
      <c r="F49" s="46"/>
      <c r="G49" s="49"/>
      <c r="H49" s="21"/>
      <c r="I49" s="21"/>
      <c r="J49" s="48"/>
      <c r="K49" s="71"/>
      <c r="L49" s="48"/>
    </row>
    <row r="50" spans="2:12" x14ac:dyDescent="0.3">
      <c r="B50" s="46"/>
      <c r="C50" s="21"/>
      <c r="D50" s="21"/>
      <c r="E50" s="48"/>
      <c r="F50" s="46"/>
      <c r="G50" s="49"/>
      <c r="H50" s="21"/>
      <c r="I50" s="21"/>
      <c r="J50" s="48"/>
      <c r="K50" s="71"/>
      <c r="L50" s="48"/>
    </row>
    <row r="51" spans="2:12" x14ac:dyDescent="0.3">
      <c r="B51" s="46"/>
      <c r="C51" s="21"/>
      <c r="D51" s="21"/>
      <c r="E51" s="48"/>
      <c r="F51" s="46"/>
      <c r="G51" s="49"/>
      <c r="H51" s="21"/>
      <c r="I51" s="21"/>
      <c r="J51" s="48"/>
      <c r="K51" s="71"/>
      <c r="L51" s="48"/>
    </row>
    <row r="52" spans="2:12" x14ac:dyDescent="0.3">
      <c r="B52" s="46"/>
      <c r="C52" s="21"/>
      <c r="D52" s="21"/>
      <c r="E52" s="48"/>
      <c r="F52" s="46"/>
      <c r="G52" s="49"/>
      <c r="H52" s="21"/>
      <c r="I52" s="21"/>
      <c r="J52" s="48"/>
      <c r="K52" s="71"/>
      <c r="L52" s="48"/>
    </row>
    <row r="53" spans="2:12" x14ac:dyDescent="0.3">
      <c r="B53" s="46"/>
      <c r="C53" s="21"/>
      <c r="D53" s="21"/>
      <c r="E53" s="48"/>
      <c r="F53" s="46"/>
      <c r="G53" s="49"/>
      <c r="H53" s="21"/>
      <c r="I53" s="21"/>
      <c r="J53" s="48"/>
      <c r="K53" s="71"/>
      <c r="L53" s="48"/>
    </row>
    <row r="54" spans="2:12" x14ac:dyDescent="0.3">
      <c r="B54" s="50"/>
      <c r="C54" s="1"/>
      <c r="D54" s="1"/>
      <c r="E54" s="51"/>
      <c r="F54" s="50"/>
      <c r="G54" s="161"/>
      <c r="H54" s="1"/>
      <c r="I54" s="1"/>
      <c r="J54" s="51"/>
      <c r="K54" s="72"/>
      <c r="L54" s="51"/>
    </row>
    <row r="55" spans="2:12" x14ac:dyDescent="0.3">
      <c r="B55" s="21"/>
      <c r="C55" s="21"/>
      <c r="D55" s="21"/>
      <c r="E55" s="21"/>
      <c r="F55" s="21"/>
      <c r="G55" s="49"/>
      <c r="H55" s="21"/>
      <c r="I55" s="21"/>
      <c r="J55" s="21"/>
      <c r="K55" s="21"/>
      <c r="L55" s="21"/>
    </row>
    <row r="56" spans="2:12" x14ac:dyDescent="0.3">
      <c r="B56" s="132" t="s">
        <v>898</v>
      </c>
      <c r="C56" s="20"/>
      <c r="D56" s="257" t="s">
        <v>899</v>
      </c>
      <c r="E56" s="20"/>
      <c r="F56" s="257" t="s">
        <v>900</v>
      </c>
      <c r="G56" s="49"/>
      <c r="H56" s="21"/>
      <c r="I56" s="21"/>
      <c r="J56" s="21"/>
      <c r="K56" s="21"/>
    </row>
    <row r="57" spans="2:12" x14ac:dyDescent="0.3">
      <c r="B57" s="3"/>
      <c r="C57" s="20"/>
      <c r="D57" s="34"/>
      <c r="E57" s="20"/>
      <c r="F57" s="34"/>
      <c r="G57" s="49"/>
      <c r="H57" s="21"/>
      <c r="I57" s="21"/>
      <c r="J57" s="21"/>
      <c r="K57" s="21"/>
    </row>
    <row r="59" spans="2:12" x14ac:dyDescent="0.3">
      <c r="B59" s="21"/>
      <c r="C59" s="21"/>
      <c r="D59" s="21"/>
    </row>
    <row r="60" spans="2:12" ht="28.8" x14ac:dyDescent="0.3">
      <c r="B60" s="125" t="s">
        <v>901</v>
      </c>
      <c r="C60" s="3" t="s">
        <v>905</v>
      </c>
      <c r="D60" s="260" t="s">
        <v>907</v>
      </c>
      <c r="E60" s="94" t="s">
        <v>903</v>
      </c>
    </row>
  </sheetData>
  <hyperlinks>
    <hyperlink ref="A1" location="Menu!A1" display="Menu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4"/>
  <sheetViews>
    <sheetView showGridLines="0" workbookViewId="0"/>
  </sheetViews>
  <sheetFormatPr defaultRowHeight="14.4" x14ac:dyDescent="0.3"/>
  <cols>
    <col min="2" max="2" width="14.5546875" customWidth="1"/>
    <col min="3" max="3" width="12.21875" bestFit="1" customWidth="1"/>
    <col min="4" max="4" width="12.5546875" bestFit="1" customWidth="1"/>
    <col min="5" max="5" width="13.33203125" bestFit="1" customWidth="1"/>
    <col min="6" max="6" width="10.77734375" bestFit="1" customWidth="1"/>
    <col min="7" max="7" width="10.44140625" style="32" bestFit="1" customWidth="1"/>
    <col min="8" max="8" width="12.33203125" bestFit="1" customWidth="1"/>
    <col min="9" max="9" width="14.44140625" bestFit="1" customWidth="1"/>
    <col min="10" max="10" width="17.21875" bestFit="1" customWidth="1"/>
    <col min="11" max="11" width="17.33203125" bestFit="1" customWidth="1"/>
    <col min="12" max="12" width="14.109375" bestFit="1" customWidth="1"/>
    <col min="13" max="13" width="6" bestFit="1" customWidth="1"/>
    <col min="14" max="14" width="11.77734375" bestFit="1" customWidth="1"/>
    <col min="15" max="15" width="4.109375" bestFit="1" customWidth="1"/>
  </cols>
  <sheetData>
    <row r="1" spans="1:16" x14ac:dyDescent="0.3">
      <c r="A1" s="2" t="s">
        <v>119</v>
      </c>
    </row>
    <row r="2" spans="1:16" x14ac:dyDescent="0.3">
      <c r="J2" s="21"/>
      <c r="K2" s="21"/>
      <c r="L2" s="21"/>
      <c r="M2" s="21"/>
      <c r="N2" s="21"/>
    </row>
    <row r="3" spans="1:16" x14ac:dyDescent="0.3">
      <c r="B3" s="40"/>
      <c r="C3" s="41"/>
      <c r="D3" s="41"/>
      <c r="E3" s="41"/>
      <c r="F3" s="41"/>
      <c r="G3" s="41"/>
      <c r="H3" s="41"/>
      <c r="I3" s="41"/>
      <c r="J3" s="41"/>
      <c r="K3" s="41" t="s">
        <v>951</v>
      </c>
      <c r="L3" s="41"/>
      <c r="M3" s="41"/>
      <c r="N3" s="41"/>
      <c r="O3" s="42"/>
    </row>
    <row r="4" spans="1:16" x14ac:dyDescent="0.3">
      <c r="G4"/>
    </row>
    <row r="5" spans="1:16" x14ac:dyDescent="0.3">
      <c r="G5"/>
      <c r="H5" s="32"/>
      <c r="L5" t="s">
        <v>954</v>
      </c>
    </row>
    <row r="6" spans="1:16" x14ac:dyDescent="0.3">
      <c r="G6"/>
      <c r="N6" s="3" t="s">
        <v>55</v>
      </c>
      <c r="O6" s="20"/>
      <c r="P6" s="33"/>
    </row>
    <row r="7" spans="1:16" x14ac:dyDescent="0.3">
      <c r="B7" s="6" t="s">
        <v>112</v>
      </c>
      <c r="C7" s="6" t="s">
        <v>508</v>
      </c>
      <c r="D7" s="6" t="s">
        <v>509</v>
      </c>
      <c r="E7" s="6" t="s">
        <v>565</v>
      </c>
      <c r="F7" s="6" t="s">
        <v>92</v>
      </c>
      <c r="G7" s="6" t="s">
        <v>115</v>
      </c>
      <c r="H7" s="6" t="s">
        <v>114</v>
      </c>
      <c r="I7" s="6" t="s">
        <v>398</v>
      </c>
      <c r="J7" s="6" t="s">
        <v>399</v>
      </c>
      <c r="K7" s="6" t="s">
        <v>116</v>
      </c>
      <c r="L7" s="140" t="s">
        <v>952</v>
      </c>
      <c r="M7" s="6" t="s">
        <v>111</v>
      </c>
      <c r="N7" s="357" t="s">
        <v>118</v>
      </c>
      <c r="O7" s="358"/>
      <c r="P7" s="358"/>
    </row>
    <row r="8" spans="1:16" x14ac:dyDescent="0.3">
      <c r="B8" s="117" t="s">
        <v>365</v>
      </c>
      <c r="C8" s="118"/>
      <c r="D8" s="3"/>
      <c r="E8" s="3"/>
      <c r="F8" s="3"/>
      <c r="G8" s="3"/>
      <c r="H8" s="3" t="s">
        <v>371</v>
      </c>
      <c r="I8" s="3" t="s">
        <v>372</v>
      </c>
      <c r="J8" s="3" t="s">
        <v>373</v>
      </c>
      <c r="K8" s="3" t="s">
        <v>393</v>
      </c>
      <c r="L8" s="3"/>
      <c r="M8" s="3"/>
      <c r="N8" s="2" t="s">
        <v>953</v>
      </c>
      <c r="O8" s="124" t="s">
        <v>434</v>
      </c>
      <c r="P8" s="80"/>
    </row>
    <row r="9" spans="1:16" x14ac:dyDescent="0.3">
      <c r="B9" s="117" t="s">
        <v>366</v>
      </c>
      <c r="C9" s="118"/>
      <c r="D9" s="3"/>
      <c r="E9" s="3"/>
      <c r="F9" s="3"/>
      <c r="G9" s="3"/>
      <c r="H9" s="3" t="s">
        <v>371</v>
      </c>
      <c r="I9" s="3" t="s">
        <v>372</v>
      </c>
      <c r="J9" s="3" t="s">
        <v>373</v>
      </c>
      <c r="K9" s="3" t="s">
        <v>394</v>
      </c>
      <c r="L9" s="3"/>
      <c r="M9" s="3"/>
      <c r="N9" s="3"/>
      <c r="O9" s="80"/>
      <c r="P9" s="80"/>
    </row>
    <row r="10" spans="1:16" x14ac:dyDescent="0.3">
      <c r="B10" s="117" t="s">
        <v>367</v>
      </c>
      <c r="C10" s="118"/>
      <c r="D10" s="3"/>
      <c r="E10" s="3"/>
      <c r="F10" s="3"/>
      <c r="G10" s="3"/>
      <c r="H10" s="3" t="s">
        <v>98</v>
      </c>
      <c r="I10" s="3" t="s">
        <v>374</v>
      </c>
      <c r="J10" s="3" t="s">
        <v>375</v>
      </c>
      <c r="K10" s="3" t="s">
        <v>392</v>
      </c>
      <c r="L10" s="3"/>
      <c r="M10" s="3"/>
      <c r="N10" s="3"/>
      <c r="O10" s="80"/>
      <c r="P10" s="80"/>
    </row>
    <row r="11" spans="1:16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80"/>
      <c r="P11" s="80"/>
    </row>
    <row r="13" spans="1:16" x14ac:dyDescent="0.3">
      <c r="N13" s="2"/>
    </row>
    <row r="14" spans="1:16" x14ac:dyDescent="0.3">
      <c r="K14" s="289" t="s">
        <v>955</v>
      </c>
    </row>
    <row r="15" spans="1:16" x14ac:dyDescent="0.3">
      <c r="C15" s="21"/>
      <c r="D15" s="21"/>
      <c r="E15" s="21"/>
      <c r="F15" s="21"/>
      <c r="G15" s="49"/>
      <c r="H15" s="21"/>
      <c r="I15" s="21"/>
      <c r="J15" s="21"/>
      <c r="K15" s="290" t="s">
        <v>956</v>
      </c>
      <c r="L15" s="21"/>
      <c r="M15" s="21"/>
      <c r="N15" s="21"/>
      <c r="O15" s="21"/>
      <c r="P15" s="21"/>
    </row>
    <row r="16" spans="1:16" x14ac:dyDescent="0.3">
      <c r="C16" s="21"/>
      <c r="D16" s="21"/>
      <c r="E16" s="21"/>
      <c r="F16" s="21"/>
      <c r="G16" s="49"/>
      <c r="H16" s="21"/>
      <c r="I16" s="21"/>
      <c r="J16" s="21"/>
      <c r="K16" s="289" t="s">
        <v>957</v>
      </c>
      <c r="L16" s="21"/>
      <c r="M16" s="21"/>
      <c r="N16" s="21"/>
      <c r="O16" s="21"/>
      <c r="P16" s="21"/>
    </row>
    <row r="17" spans="2:16" s="204" customFormat="1" x14ac:dyDescent="0.3">
      <c r="C17" s="206"/>
      <c r="D17" s="206"/>
      <c r="E17" s="206"/>
      <c r="F17" s="206"/>
      <c r="G17" s="207"/>
      <c r="H17" s="206"/>
      <c r="I17" s="206"/>
      <c r="J17" s="206"/>
      <c r="K17" s="290" t="s">
        <v>958</v>
      </c>
      <c r="L17" s="206"/>
      <c r="M17" s="206"/>
      <c r="N17" s="206"/>
      <c r="O17" s="206"/>
      <c r="P17" s="206"/>
    </row>
    <row r="18" spans="2:16" x14ac:dyDescent="0.3">
      <c r="C18" s="21"/>
      <c r="D18" s="21"/>
      <c r="E18" s="21"/>
      <c r="F18" s="21"/>
      <c r="G18" s="49"/>
      <c r="H18" s="21"/>
      <c r="I18" s="21"/>
      <c r="J18" s="21"/>
      <c r="K18" s="21"/>
      <c r="L18" s="21"/>
      <c r="M18" s="21"/>
      <c r="N18" s="21"/>
      <c r="O18" s="21"/>
      <c r="P18" s="21"/>
    </row>
    <row r="19" spans="2:16" x14ac:dyDescent="0.3">
      <c r="B19" s="295" t="s">
        <v>966</v>
      </c>
      <c r="C19" s="44"/>
      <c r="D19" s="44"/>
      <c r="E19" s="44"/>
      <c r="F19" s="44"/>
      <c r="G19" s="155"/>
      <c r="H19" s="44"/>
      <c r="I19" s="44"/>
      <c r="J19" s="44"/>
      <c r="K19" s="45"/>
      <c r="L19" s="21"/>
      <c r="M19" s="21"/>
      <c r="N19" s="21"/>
      <c r="O19" s="21"/>
      <c r="P19" s="21"/>
    </row>
    <row r="20" spans="2:16" x14ac:dyDescent="0.3">
      <c r="B20" s="46"/>
      <c r="C20" s="21"/>
      <c r="D20" s="21"/>
      <c r="E20" s="21"/>
      <c r="F20" s="21"/>
      <c r="G20" s="49"/>
      <c r="H20" s="21"/>
      <c r="I20" s="21"/>
      <c r="J20" s="21"/>
      <c r="K20" s="48"/>
      <c r="L20" s="21"/>
      <c r="M20" s="21"/>
      <c r="N20" s="21"/>
      <c r="O20" s="21"/>
      <c r="P20" s="21"/>
    </row>
    <row r="21" spans="2:16" x14ac:dyDescent="0.3">
      <c r="B21" s="46" t="s">
        <v>976</v>
      </c>
      <c r="C21" s="21"/>
      <c r="D21" s="21"/>
      <c r="E21" s="21"/>
      <c r="F21" s="21"/>
      <c r="G21" s="49"/>
      <c r="H21" s="21"/>
      <c r="I21" s="21"/>
      <c r="J21" s="21"/>
      <c r="K21" s="48"/>
      <c r="L21" s="21"/>
      <c r="M21" s="21"/>
      <c r="N21" s="21"/>
      <c r="O21" s="21"/>
      <c r="P21" s="21"/>
    </row>
    <row r="22" spans="2:16" x14ac:dyDescent="0.3">
      <c r="B22" s="46"/>
      <c r="C22" s="21"/>
      <c r="D22" s="21"/>
      <c r="E22" s="21"/>
      <c r="F22" s="21"/>
      <c r="G22" s="49"/>
      <c r="H22" s="21"/>
      <c r="I22" s="21"/>
      <c r="J22" s="21"/>
      <c r="K22" s="48"/>
      <c r="L22" s="21"/>
      <c r="M22" s="21"/>
      <c r="N22" s="21"/>
      <c r="O22" s="21"/>
      <c r="P22" s="21"/>
    </row>
    <row r="23" spans="2:16" x14ac:dyDescent="0.3">
      <c r="B23" s="3" t="s">
        <v>967</v>
      </c>
      <c r="C23" s="3" t="s">
        <v>968</v>
      </c>
      <c r="D23" s="3" t="s">
        <v>969</v>
      </c>
      <c r="E23" s="80" t="s">
        <v>970</v>
      </c>
      <c r="F23" s="80" t="s">
        <v>971</v>
      </c>
      <c r="G23" s="132" t="s">
        <v>146</v>
      </c>
      <c r="H23" s="80" t="s">
        <v>972</v>
      </c>
      <c r="I23" s="80" t="s">
        <v>516</v>
      </c>
      <c r="J23" s="80" t="s">
        <v>973</v>
      </c>
      <c r="K23" s="48"/>
      <c r="L23" s="21"/>
      <c r="M23" s="21"/>
      <c r="N23" s="21"/>
      <c r="O23" s="21"/>
      <c r="P23" s="21"/>
    </row>
    <row r="24" spans="2:16" x14ac:dyDescent="0.3">
      <c r="B24" s="3"/>
      <c r="C24" s="3"/>
      <c r="D24" s="3"/>
      <c r="E24" s="3"/>
      <c r="F24" s="3"/>
      <c r="G24" s="132"/>
      <c r="H24" s="3"/>
      <c r="I24" s="3"/>
      <c r="J24" s="3"/>
      <c r="K24" s="48"/>
      <c r="L24" s="21"/>
      <c r="M24" s="21"/>
      <c r="N24" s="21"/>
      <c r="O24" s="21"/>
      <c r="P24" s="21"/>
    </row>
    <row r="25" spans="2:16" x14ac:dyDescent="0.3">
      <c r="B25" s="3"/>
      <c r="C25" s="3"/>
      <c r="D25" s="3"/>
      <c r="E25" s="3"/>
      <c r="F25" s="3"/>
      <c r="G25" s="132"/>
      <c r="H25" s="3"/>
      <c r="I25" s="3"/>
      <c r="J25" s="3"/>
      <c r="K25" s="48"/>
      <c r="L25" s="21"/>
      <c r="M25" s="21"/>
      <c r="N25" s="21"/>
      <c r="O25" s="21"/>
      <c r="P25" s="21"/>
    </row>
    <row r="26" spans="2:16" x14ac:dyDescent="0.3">
      <c r="B26" s="20"/>
      <c r="C26" s="33"/>
      <c r="D26" s="33"/>
      <c r="E26" s="33"/>
      <c r="F26" s="33"/>
      <c r="G26" s="291" t="s">
        <v>974</v>
      </c>
      <c r="H26" s="3"/>
      <c r="I26" s="34"/>
      <c r="J26" s="3"/>
      <c r="K26" s="48"/>
      <c r="L26" s="21"/>
      <c r="M26" s="21"/>
      <c r="N26" s="21"/>
      <c r="O26" s="21"/>
      <c r="P26" s="21"/>
    </row>
    <row r="27" spans="2:16" x14ac:dyDescent="0.3">
      <c r="B27" s="3" t="s">
        <v>979</v>
      </c>
      <c r="C27" s="20"/>
      <c r="D27" s="34"/>
      <c r="E27" s="21" t="s">
        <v>978</v>
      </c>
      <c r="F27" s="20"/>
      <c r="G27" s="293"/>
      <c r="H27" s="21"/>
      <c r="I27" s="21"/>
      <c r="J27" s="21"/>
      <c r="K27" s="48"/>
      <c r="L27" s="21"/>
      <c r="M27" s="21"/>
      <c r="N27" s="21"/>
      <c r="O27" s="21"/>
      <c r="P27" s="21"/>
    </row>
    <row r="28" spans="2:16" x14ac:dyDescent="0.3">
      <c r="B28" s="46"/>
      <c r="C28" s="21"/>
      <c r="D28" s="21"/>
      <c r="E28" s="21"/>
      <c r="F28" s="21"/>
      <c r="G28" s="49"/>
      <c r="H28" s="21"/>
      <c r="I28" s="21"/>
      <c r="J28" s="21"/>
      <c r="K28" s="48"/>
      <c r="L28" s="21"/>
      <c r="M28" s="21"/>
      <c r="N28" s="21"/>
      <c r="O28" s="21"/>
      <c r="P28" s="21"/>
    </row>
    <row r="29" spans="2:16" x14ac:dyDescent="0.3">
      <c r="B29" s="46"/>
      <c r="C29" s="21"/>
      <c r="D29" s="21"/>
      <c r="E29" s="21"/>
      <c r="F29" s="21"/>
      <c r="G29" s="49"/>
      <c r="H29" s="21"/>
      <c r="I29" s="21"/>
      <c r="J29" s="21"/>
      <c r="K29" s="48"/>
      <c r="L29" s="21"/>
      <c r="M29" s="21"/>
      <c r="N29" s="21"/>
      <c r="O29" s="21"/>
      <c r="P29" s="21"/>
    </row>
    <row r="30" spans="2:16" x14ac:dyDescent="0.3">
      <c r="B30" s="46" t="s">
        <v>975</v>
      </c>
      <c r="C30" s="21"/>
      <c r="D30" s="21"/>
      <c r="E30" s="21"/>
      <c r="F30" s="21"/>
      <c r="G30" s="49"/>
      <c r="H30" s="21"/>
      <c r="I30" s="21"/>
      <c r="J30" s="21"/>
      <c r="K30" s="48"/>
      <c r="L30" s="21"/>
      <c r="M30" s="21"/>
      <c r="N30" s="21"/>
      <c r="O30" s="21"/>
      <c r="P30" s="21"/>
    </row>
    <row r="31" spans="2:16" x14ac:dyDescent="0.3">
      <c r="B31" s="46"/>
      <c r="C31" s="21"/>
      <c r="D31" s="21"/>
      <c r="E31" s="21"/>
      <c r="F31" s="21"/>
      <c r="G31" s="49"/>
      <c r="H31" s="21"/>
      <c r="I31" s="21"/>
      <c r="J31" s="21"/>
      <c r="K31" s="48"/>
      <c r="L31" s="21"/>
      <c r="M31" s="21"/>
      <c r="N31" s="21"/>
      <c r="O31" s="21"/>
      <c r="P31" s="21"/>
    </row>
    <row r="32" spans="2:16" x14ac:dyDescent="0.3">
      <c r="B32" s="3" t="s">
        <v>967</v>
      </c>
      <c r="C32" s="3" t="s">
        <v>968</v>
      </c>
      <c r="D32" s="3" t="s">
        <v>969</v>
      </c>
      <c r="E32" s="80" t="s">
        <v>970</v>
      </c>
      <c r="F32" s="80" t="s">
        <v>971</v>
      </c>
      <c r="G32" s="132" t="s">
        <v>146</v>
      </c>
      <c r="H32" s="80" t="s">
        <v>972</v>
      </c>
      <c r="I32" s="80" t="s">
        <v>516</v>
      </c>
      <c r="J32" s="80" t="s">
        <v>973</v>
      </c>
      <c r="K32" s="48"/>
      <c r="L32" s="21"/>
      <c r="M32" s="21"/>
      <c r="N32" s="21"/>
      <c r="O32" s="21"/>
      <c r="P32" s="21"/>
    </row>
    <row r="33" spans="2:16" x14ac:dyDescent="0.3">
      <c r="B33" s="3"/>
      <c r="C33" s="3"/>
      <c r="D33" s="3"/>
      <c r="E33" s="3"/>
      <c r="F33" s="3"/>
      <c r="G33" s="132"/>
      <c r="H33" s="3"/>
      <c r="I33" s="3"/>
      <c r="J33" s="3"/>
      <c r="K33" s="48"/>
      <c r="L33" s="21"/>
      <c r="M33" s="21"/>
      <c r="N33" s="21"/>
      <c r="O33" s="21"/>
      <c r="P33" s="21"/>
    </row>
    <row r="34" spans="2:16" x14ac:dyDescent="0.3">
      <c r="B34" s="3"/>
      <c r="C34" s="3"/>
      <c r="D34" s="3"/>
      <c r="E34" s="3"/>
      <c r="F34" s="3"/>
      <c r="G34" s="132"/>
      <c r="H34" s="3"/>
      <c r="I34" s="3"/>
      <c r="J34" s="3"/>
      <c r="K34" s="48"/>
      <c r="L34" s="21"/>
      <c r="M34" s="21"/>
      <c r="N34" s="21"/>
      <c r="O34" s="21"/>
      <c r="P34" s="21"/>
    </row>
    <row r="35" spans="2:16" x14ac:dyDescent="0.3">
      <c r="B35" s="20"/>
      <c r="C35" s="33"/>
      <c r="D35" s="33"/>
      <c r="E35" s="33"/>
      <c r="F35" s="33"/>
      <c r="G35" s="291" t="s">
        <v>974</v>
      </c>
      <c r="H35" s="3"/>
      <c r="I35" s="34"/>
      <c r="J35" s="3"/>
      <c r="K35" s="48"/>
      <c r="L35" s="21"/>
      <c r="M35" s="21"/>
      <c r="N35" s="21"/>
      <c r="O35" s="21"/>
      <c r="P35" s="21"/>
    </row>
    <row r="36" spans="2:16" x14ac:dyDescent="0.3">
      <c r="B36" s="3" t="s">
        <v>979</v>
      </c>
      <c r="C36" s="20"/>
      <c r="D36" s="34"/>
      <c r="E36" s="21" t="s">
        <v>978</v>
      </c>
      <c r="F36" s="20"/>
      <c r="G36" s="293"/>
      <c r="H36" s="21"/>
      <c r="I36" s="21"/>
      <c r="J36" s="21"/>
      <c r="K36" s="48"/>
      <c r="L36" s="21"/>
      <c r="M36" s="21"/>
      <c r="N36" s="21"/>
      <c r="O36" s="21"/>
      <c r="P36" s="21"/>
    </row>
    <row r="37" spans="2:16" x14ac:dyDescent="0.3">
      <c r="B37" s="46"/>
      <c r="C37" s="21"/>
      <c r="D37" s="21"/>
      <c r="E37" s="21"/>
      <c r="F37" s="21"/>
      <c r="G37" s="292"/>
      <c r="H37" s="21"/>
      <c r="I37" s="21"/>
      <c r="J37" s="21"/>
      <c r="K37" s="48"/>
      <c r="L37" s="21"/>
      <c r="M37" s="21"/>
      <c r="N37" s="21"/>
      <c r="O37" s="21"/>
      <c r="P37" s="21"/>
    </row>
    <row r="38" spans="2:16" x14ac:dyDescent="0.3">
      <c r="B38" s="46" t="s">
        <v>977</v>
      </c>
      <c r="C38" s="21"/>
      <c r="D38" s="21"/>
      <c r="E38" s="21"/>
      <c r="F38" s="21"/>
      <c r="G38" s="49"/>
      <c r="H38" s="21"/>
      <c r="I38" s="21"/>
      <c r="J38" s="21"/>
      <c r="K38" s="48"/>
      <c r="L38" s="21"/>
      <c r="M38" s="21"/>
      <c r="N38" s="21"/>
      <c r="O38" s="21"/>
      <c r="P38" s="21"/>
    </row>
    <row r="39" spans="2:16" x14ac:dyDescent="0.3">
      <c r="B39" s="46"/>
      <c r="C39" s="21"/>
      <c r="D39" s="21"/>
      <c r="E39" s="21"/>
      <c r="F39" s="21"/>
      <c r="G39" s="49"/>
      <c r="H39" s="21"/>
      <c r="I39" s="21"/>
      <c r="J39" s="21"/>
      <c r="K39" s="48"/>
      <c r="L39" s="21"/>
      <c r="M39" s="21"/>
      <c r="N39" s="21"/>
      <c r="O39" s="21"/>
      <c r="P39" s="21"/>
    </row>
    <row r="40" spans="2:16" x14ac:dyDescent="0.3">
      <c r="B40" s="3" t="s">
        <v>967</v>
      </c>
      <c r="C40" s="3" t="s">
        <v>968</v>
      </c>
      <c r="D40" s="3" t="s">
        <v>969</v>
      </c>
      <c r="E40" s="80" t="s">
        <v>970</v>
      </c>
      <c r="F40" s="80" t="s">
        <v>971</v>
      </c>
      <c r="G40" s="132" t="s">
        <v>146</v>
      </c>
      <c r="H40" s="80" t="s">
        <v>972</v>
      </c>
      <c r="I40" s="80" t="s">
        <v>516</v>
      </c>
      <c r="J40" s="80" t="s">
        <v>973</v>
      </c>
      <c r="K40" s="48"/>
      <c r="L40" s="21"/>
      <c r="M40" s="21"/>
      <c r="N40" s="21"/>
      <c r="O40" s="21"/>
      <c r="P40" s="21"/>
    </row>
    <row r="41" spans="2:16" x14ac:dyDescent="0.3">
      <c r="B41" s="3"/>
      <c r="C41" s="3"/>
      <c r="D41" s="3"/>
      <c r="E41" s="3"/>
      <c r="F41" s="3"/>
      <c r="G41" s="132"/>
      <c r="H41" s="3"/>
      <c r="I41" s="3"/>
      <c r="J41" s="3"/>
      <c r="K41" s="48"/>
      <c r="L41" s="21"/>
      <c r="M41" s="21"/>
      <c r="N41" s="21"/>
      <c r="O41" s="21"/>
      <c r="P41" s="21"/>
    </row>
    <row r="42" spans="2:16" x14ac:dyDescent="0.3">
      <c r="B42" s="3"/>
      <c r="C42" s="3"/>
      <c r="D42" s="3"/>
      <c r="E42" s="3"/>
      <c r="F42" s="3"/>
      <c r="G42" s="132"/>
      <c r="H42" s="3"/>
      <c r="I42" s="3"/>
      <c r="J42" s="3"/>
      <c r="K42" s="48"/>
      <c r="L42" s="21"/>
      <c r="M42" s="21"/>
      <c r="N42" s="21"/>
      <c r="O42" s="21"/>
      <c r="P42" s="21"/>
    </row>
    <row r="43" spans="2:16" x14ac:dyDescent="0.3">
      <c r="B43" s="20"/>
      <c r="C43" s="33"/>
      <c r="D43" s="33"/>
      <c r="E43" s="33"/>
      <c r="F43" s="33"/>
      <c r="G43" s="291" t="s">
        <v>974</v>
      </c>
      <c r="H43" s="3"/>
      <c r="I43" s="34"/>
      <c r="J43" s="3"/>
      <c r="K43" s="48"/>
      <c r="L43" s="21"/>
      <c r="M43" s="21"/>
      <c r="N43" s="21"/>
      <c r="O43" s="21"/>
      <c r="P43" s="21"/>
    </row>
    <row r="44" spans="2:16" x14ac:dyDescent="0.3">
      <c r="B44" s="3" t="s">
        <v>979</v>
      </c>
      <c r="C44" s="20"/>
      <c r="D44" s="34"/>
      <c r="E44" s="21" t="s">
        <v>978</v>
      </c>
      <c r="F44" s="20"/>
      <c r="G44" s="293"/>
      <c r="H44" s="21"/>
      <c r="I44" s="21"/>
      <c r="J44" s="21"/>
      <c r="K44" s="48"/>
      <c r="L44" s="21"/>
      <c r="M44" s="21"/>
      <c r="N44" s="21"/>
      <c r="O44" s="21"/>
      <c r="P44" s="21"/>
    </row>
    <row r="45" spans="2:16" x14ac:dyDescent="0.3">
      <c r="B45" s="46"/>
      <c r="C45" s="21"/>
      <c r="D45" s="21"/>
      <c r="E45" s="21"/>
      <c r="F45" s="21"/>
      <c r="G45" s="49"/>
      <c r="H45" s="21"/>
      <c r="I45" s="21"/>
      <c r="J45" s="21"/>
      <c r="K45" s="48"/>
      <c r="L45" s="21"/>
      <c r="M45" s="21"/>
      <c r="N45" s="21"/>
      <c r="O45" s="21"/>
      <c r="P45" s="21"/>
    </row>
    <row r="46" spans="2:16" x14ac:dyDescent="0.3">
      <c r="B46" s="46"/>
      <c r="C46" s="21"/>
      <c r="D46" s="21"/>
      <c r="E46" s="21"/>
      <c r="F46" s="21"/>
      <c r="G46" s="292" t="s">
        <v>980</v>
      </c>
      <c r="H46" s="3"/>
      <c r="I46" s="3"/>
      <c r="J46" s="3"/>
      <c r="K46" s="48"/>
      <c r="L46" s="21"/>
      <c r="M46" s="21"/>
      <c r="N46" s="21"/>
      <c r="O46" s="21"/>
      <c r="P46" s="21"/>
    </row>
    <row r="47" spans="2:16" x14ac:dyDescent="0.3">
      <c r="B47" s="50"/>
      <c r="C47" s="1"/>
      <c r="D47" s="1"/>
      <c r="E47" s="1"/>
      <c r="F47" s="1"/>
      <c r="G47" s="161"/>
      <c r="H47" s="1"/>
      <c r="I47" s="1"/>
      <c r="J47" s="1"/>
      <c r="K47" s="51"/>
      <c r="L47" s="21"/>
      <c r="M47" s="21"/>
      <c r="N47" s="21"/>
      <c r="O47" s="21"/>
      <c r="P47" s="21"/>
    </row>
    <row r="48" spans="2:16" x14ac:dyDescent="0.3">
      <c r="C48" s="21"/>
      <c r="D48" s="21"/>
      <c r="E48" s="21"/>
      <c r="F48" s="21"/>
      <c r="G48" s="49"/>
      <c r="H48" s="21"/>
      <c r="I48" s="21"/>
      <c r="J48" s="21"/>
      <c r="K48" s="21"/>
      <c r="L48" s="21"/>
      <c r="M48" s="21"/>
      <c r="N48" s="21"/>
      <c r="O48" s="21"/>
      <c r="P48" s="21"/>
    </row>
    <row r="49" spans="2:11" x14ac:dyDescent="0.3">
      <c r="B49" s="43"/>
      <c r="C49" s="44"/>
      <c r="D49" s="44"/>
      <c r="E49" s="44"/>
      <c r="F49" s="44"/>
      <c r="G49" s="155"/>
      <c r="H49" s="44"/>
      <c r="I49" s="44"/>
      <c r="J49" s="44"/>
      <c r="K49" s="45"/>
    </row>
    <row r="50" spans="2:11" x14ac:dyDescent="0.3">
      <c r="B50" s="46"/>
      <c r="C50" s="21"/>
      <c r="D50" s="21"/>
      <c r="E50" s="21"/>
      <c r="F50" s="21"/>
      <c r="G50" s="49"/>
      <c r="H50" s="21"/>
      <c r="I50" s="21"/>
      <c r="J50" s="21"/>
      <c r="K50" s="48"/>
    </row>
    <row r="51" spans="2:11" x14ac:dyDescent="0.3">
      <c r="B51" s="311" t="s">
        <v>461</v>
      </c>
      <c r="C51" s="21"/>
      <c r="D51" s="21"/>
      <c r="E51" s="21"/>
      <c r="F51" s="21"/>
      <c r="G51" s="49"/>
      <c r="H51" s="21"/>
      <c r="I51" s="21"/>
      <c r="J51" s="21"/>
      <c r="K51" s="48"/>
    </row>
    <row r="52" spans="2:11" x14ac:dyDescent="0.3">
      <c r="B52" s="69" t="s">
        <v>967</v>
      </c>
      <c r="C52" s="69" t="s">
        <v>968</v>
      </c>
      <c r="D52" s="69" t="s">
        <v>969</v>
      </c>
      <c r="E52" s="69" t="s">
        <v>970</v>
      </c>
      <c r="F52" s="69" t="s">
        <v>971</v>
      </c>
      <c r="G52" s="312" t="s">
        <v>146</v>
      </c>
      <c r="H52" s="69" t="s">
        <v>972</v>
      </c>
      <c r="I52" s="69" t="s">
        <v>516</v>
      </c>
      <c r="J52" s="69" t="s">
        <v>973</v>
      </c>
      <c r="K52" s="48" t="s">
        <v>1153</v>
      </c>
    </row>
    <row r="53" spans="2:11" x14ac:dyDescent="0.3">
      <c r="B53" s="3"/>
      <c r="C53" s="3"/>
      <c r="D53" s="3"/>
      <c r="E53" s="3"/>
      <c r="F53" s="3"/>
      <c r="G53" s="132"/>
      <c r="H53" s="3"/>
      <c r="I53" s="3"/>
      <c r="J53" s="3"/>
      <c r="K53" s="48"/>
    </row>
    <row r="54" spans="2:11" x14ac:dyDescent="0.3">
      <c r="B54" s="3"/>
      <c r="C54" s="3"/>
      <c r="D54" s="3"/>
      <c r="E54" s="3"/>
      <c r="F54" s="3"/>
      <c r="G54" s="132"/>
      <c r="H54" s="3"/>
      <c r="I54" s="3"/>
      <c r="J54" s="3"/>
      <c r="K54" s="48"/>
    </row>
    <row r="55" spans="2:11" x14ac:dyDescent="0.3">
      <c r="B55" s="3"/>
      <c r="C55" s="3"/>
      <c r="D55" s="3"/>
      <c r="E55" s="3"/>
      <c r="F55" s="3"/>
      <c r="G55" s="132"/>
      <c r="H55" s="3"/>
      <c r="I55" s="3"/>
      <c r="J55" s="3"/>
      <c r="K55" s="48"/>
    </row>
    <row r="56" spans="2:11" x14ac:dyDescent="0.3">
      <c r="B56" s="20"/>
      <c r="C56" s="33"/>
      <c r="D56" s="33"/>
      <c r="E56" s="33"/>
      <c r="F56" s="33"/>
      <c r="G56" s="291" t="s">
        <v>981</v>
      </c>
      <c r="H56" s="3"/>
      <c r="I56" s="21"/>
      <c r="J56" s="3"/>
      <c r="K56" s="48"/>
    </row>
    <row r="57" spans="2:11" x14ac:dyDescent="0.3">
      <c r="B57" s="46"/>
      <c r="C57" s="21"/>
      <c r="D57" s="21"/>
      <c r="E57" s="21"/>
      <c r="F57" s="21"/>
      <c r="G57" s="49"/>
      <c r="H57" s="21"/>
      <c r="I57" s="21"/>
      <c r="J57" s="21"/>
      <c r="K57" s="48"/>
    </row>
    <row r="58" spans="2:11" x14ac:dyDescent="0.3">
      <c r="B58" s="46"/>
      <c r="C58" s="21"/>
      <c r="D58" s="21"/>
      <c r="E58" s="21"/>
      <c r="F58" s="21"/>
      <c r="G58" s="49" t="s">
        <v>982</v>
      </c>
      <c r="H58" s="290" t="s">
        <v>984</v>
      </c>
      <c r="I58" s="21"/>
      <c r="J58" s="21"/>
      <c r="K58" s="48"/>
    </row>
    <row r="59" spans="2:11" x14ac:dyDescent="0.3">
      <c r="B59" s="46"/>
      <c r="C59" s="21"/>
      <c r="D59" s="21"/>
      <c r="E59" s="21"/>
      <c r="F59" s="21"/>
      <c r="G59" s="49" t="s">
        <v>983</v>
      </c>
      <c r="H59" s="21"/>
      <c r="I59" s="21"/>
      <c r="J59" s="21"/>
      <c r="K59" s="48"/>
    </row>
    <row r="60" spans="2:11" x14ac:dyDescent="0.3">
      <c r="B60" s="50"/>
      <c r="C60" s="1"/>
      <c r="D60" s="1"/>
      <c r="E60" s="1"/>
      <c r="F60" s="1"/>
      <c r="G60" s="161"/>
      <c r="H60" s="1"/>
      <c r="I60" s="1"/>
      <c r="J60" s="1"/>
      <c r="K60" s="51"/>
    </row>
    <row r="61" spans="2:11" x14ac:dyDescent="0.3">
      <c r="B61" s="309" t="s">
        <v>1146</v>
      </c>
      <c r="C61" s="56"/>
      <c r="D61" s="56"/>
      <c r="E61" s="310"/>
    </row>
    <row r="62" spans="2:11" x14ac:dyDescent="0.3">
      <c r="B62" s="20"/>
      <c r="C62" s="33"/>
      <c r="D62" s="33"/>
      <c r="E62" s="34"/>
    </row>
    <row r="64" spans="2:11" x14ac:dyDescent="0.3">
      <c r="B64" s="308" t="s">
        <v>1144</v>
      </c>
      <c r="C64" s="308" t="s">
        <v>842</v>
      </c>
      <c r="D64" s="308" t="s">
        <v>903</v>
      </c>
      <c r="E64" s="308" t="s">
        <v>1145</v>
      </c>
    </row>
  </sheetData>
  <mergeCells count="1">
    <mergeCell ref="N7:P7"/>
  </mergeCells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22" r:id="rId3" name="Drop Down 2">
              <controlPr defaultSize="0" autoLine="0" autoPict="0">
                <anchor moveWithCells="1">
                  <from>
                    <xdr:col>2</xdr:col>
                    <xdr:colOff>144780</xdr:colOff>
                    <xdr:row>20</xdr:row>
                    <xdr:rowOff>15240</xdr:rowOff>
                  </from>
                  <to>
                    <xdr:col>3</xdr:col>
                    <xdr:colOff>220980</xdr:colOff>
                    <xdr:row>21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23" r:id="rId4" name="Drop Down 3">
              <controlPr defaultSize="0" autoLine="0" autoPict="0">
                <anchor moveWithCells="1">
                  <from>
                    <xdr:col>2</xdr:col>
                    <xdr:colOff>144780</xdr:colOff>
                    <xdr:row>29</xdr:row>
                    <xdr:rowOff>0</xdr:rowOff>
                  </from>
                  <to>
                    <xdr:col>3</xdr:col>
                    <xdr:colOff>220980</xdr:colOff>
                    <xdr:row>30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24" r:id="rId5" name="Drop Down 4">
              <controlPr defaultSize="0" autoLine="0" autoPict="0">
                <anchor moveWithCells="1">
                  <from>
                    <xdr:col>2</xdr:col>
                    <xdr:colOff>175260</xdr:colOff>
                    <xdr:row>37</xdr:row>
                    <xdr:rowOff>0</xdr:rowOff>
                  </from>
                  <to>
                    <xdr:col>3</xdr:col>
                    <xdr:colOff>251460</xdr:colOff>
                    <xdr:row>38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5"/>
  <sheetViews>
    <sheetView showGridLines="0" workbookViewId="0">
      <selection activeCell="I8" sqref="I8"/>
    </sheetView>
  </sheetViews>
  <sheetFormatPr defaultRowHeight="14.4" x14ac:dyDescent="0.3"/>
  <cols>
    <col min="2" max="2" width="14.5546875" customWidth="1"/>
    <col min="3" max="3" width="25" customWidth="1"/>
    <col min="4" max="4" width="12.44140625" customWidth="1"/>
    <col min="5" max="5" width="14.5546875" customWidth="1"/>
    <col min="6" max="6" width="19.88671875" bestFit="1" customWidth="1"/>
    <col min="7" max="8" width="23" customWidth="1"/>
    <col min="9" max="9" width="18.21875" bestFit="1" customWidth="1"/>
  </cols>
  <sheetData>
    <row r="1" spans="1:11" x14ac:dyDescent="0.3">
      <c r="A1" s="2" t="s">
        <v>119</v>
      </c>
    </row>
    <row r="2" spans="1:11" x14ac:dyDescent="0.3">
      <c r="F2" s="21"/>
      <c r="G2" s="21"/>
      <c r="H2" s="21"/>
    </row>
    <row r="3" spans="1:11" x14ac:dyDescent="0.3">
      <c r="B3" s="40"/>
      <c r="C3" s="41"/>
      <c r="D3" s="41"/>
      <c r="E3" s="41"/>
      <c r="F3" s="41"/>
      <c r="G3" s="41" t="s">
        <v>1189</v>
      </c>
      <c r="H3" s="307"/>
    </row>
    <row r="7" spans="1:11" ht="28.8" x14ac:dyDescent="0.3">
      <c r="B7" s="3" t="s">
        <v>113</v>
      </c>
      <c r="C7" s="100" t="s">
        <v>1190</v>
      </c>
      <c r="D7" s="3" t="s">
        <v>998</v>
      </c>
      <c r="E7" s="3" t="s">
        <v>999</v>
      </c>
      <c r="F7" s="3" t="s">
        <v>516</v>
      </c>
      <c r="G7" s="3" t="s">
        <v>1000</v>
      </c>
      <c r="H7" s="3" t="s">
        <v>1142</v>
      </c>
      <c r="I7" s="374" t="s">
        <v>118</v>
      </c>
      <c r="J7" s="374"/>
      <c r="K7" s="3"/>
    </row>
    <row r="8" spans="1:11" x14ac:dyDescent="0.3">
      <c r="B8" s="118">
        <v>46275</v>
      </c>
      <c r="C8" s="3" t="s">
        <v>1139</v>
      </c>
      <c r="D8" s="3" t="s">
        <v>1140</v>
      </c>
      <c r="E8" s="3">
        <v>2000</v>
      </c>
      <c r="F8" s="3">
        <v>124</v>
      </c>
      <c r="G8" s="3">
        <f>F8*E8</f>
        <v>248000</v>
      </c>
      <c r="H8" s="3" t="s">
        <v>1143</v>
      </c>
      <c r="I8" s="109" t="s">
        <v>1141</v>
      </c>
      <c r="J8" s="3" t="s">
        <v>56</v>
      </c>
      <c r="K8" s="3"/>
    </row>
    <row r="9" spans="1:11" x14ac:dyDescent="0.3"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3"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3"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3">
      <c r="B15" s="3"/>
      <c r="C15" s="3"/>
      <c r="D15" s="3"/>
      <c r="E15" s="3"/>
      <c r="F15" s="3"/>
      <c r="G15" s="3"/>
      <c r="H15" s="3"/>
      <c r="I15" s="3"/>
      <c r="J15" s="3"/>
      <c r="K15" s="3"/>
    </row>
  </sheetData>
  <mergeCells count="1">
    <mergeCell ref="I7:J7"/>
  </mergeCells>
  <hyperlinks>
    <hyperlink ref="A1" location="Menu!A1" display="Menu"/>
    <hyperlink ref="I8" location="'Expense-Vendor'!A1" display="Make Payment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6545" r:id="rId3" name="Drop Down 1">
              <controlPr defaultSize="0" autoLine="0" autoPict="0">
                <anchor moveWithCells="1">
                  <from>
                    <xdr:col>9</xdr:col>
                    <xdr:colOff>525780</xdr:colOff>
                    <xdr:row>1</xdr:row>
                    <xdr:rowOff>137160</xdr:rowOff>
                  </from>
                  <to>
                    <xdr:col>11</xdr:col>
                    <xdr:colOff>220980</xdr:colOff>
                    <xdr:row>2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showGridLines="0" workbookViewId="0"/>
  </sheetViews>
  <sheetFormatPr defaultRowHeight="14.4" x14ac:dyDescent="0.3"/>
  <cols>
    <col min="2" max="2" width="14.5546875" customWidth="1"/>
    <col min="3" max="3" width="12.21875" bestFit="1" customWidth="1"/>
    <col min="4" max="4" width="12.5546875" bestFit="1" customWidth="1"/>
    <col min="5" max="5" width="13.33203125" bestFit="1" customWidth="1"/>
    <col min="6" max="6" width="14.6640625" bestFit="1" customWidth="1"/>
    <col min="7" max="7" width="10.77734375" bestFit="1" customWidth="1"/>
    <col min="8" max="8" width="12.33203125" bestFit="1" customWidth="1"/>
    <col min="9" max="9" width="14.44140625" bestFit="1" customWidth="1"/>
    <col min="10" max="10" width="17.21875" bestFit="1" customWidth="1"/>
    <col min="11" max="11" width="14.109375" bestFit="1" customWidth="1"/>
    <col min="12" max="12" width="8.21875" bestFit="1" customWidth="1"/>
    <col min="13" max="13" width="6" bestFit="1" customWidth="1"/>
    <col min="14" max="14" width="11.77734375" bestFit="1" customWidth="1"/>
    <col min="15" max="15" width="4.109375" bestFit="1" customWidth="1"/>
  </cols>
  <sheetData>
    <row r="1" spans="1:16" x14ac:dyDescent="0.3">
      <c r="A1" s="2" t="s">
        <v>119</v>
      </c>
    </row>
    <row r="2" spans="1:16" x14ac:dyDescent="0.3">
      <c r="J2" s="21"/>
      <c r="K2" s="21"/>
      <c r="L2" s="21"/>
      <c r="M2" s="21"/>
      <c r="N2" s="21"/>
    </row>
    <row r="3" spans="1:16" x14ac:dyDescent="0.3"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2"/>
    </row>
    <row r="5" spans="1:16" x14ac:dyDescent="0.3">
      <c r="O5" s="20" t="s">
        <v>1152</v>
      </c>
      <c r="P5" s="34"/>
    </row>
    <row r="6" spans="1:16" x14ac:dyDescent="0.3">
      <c r="H6" s="32"/>
    </row>
    <row r="7" spans="1:16" x14ac:dyDescent="0.3">
      <c r="B7" s="6" t="s">
        <v>112</v>
      </c>
      <c r="C7" s="6" t="s">
        <v>508</v>
      </c>
      <c r="D7" s="6" t="s">
        <v>509</v>
      </c>
      <c r="E7" s="6" t="s">
        <v>565</v>
      </c>
      <c r="F7" s="6" t="s">
        <v>1148</v>
      </c>
      <c r="G7" s="6" t="s">
        <v>92</v>
      </c>
      <c r="H7" s="6" t="s">
        <v>114</v>
      </c>
      <c r="I7" s="6" t="s">
        <v>398</v>
      </c>
      <c r="J7" s="6" t="s">
        <v>399</v>
      </c>
      <c r="K7" s="140" t="s">
        <v>1149</v>
      </c>
      <c r="L7" s="140" t="s">
        <v>146</v>
      </c>
      <c r="M7" s="6" t="s">
        <v>111</v>
      </c>
      <c r="N7" s="357" t="s">
        <v>118</v>
      </c>
      <c r="O7" s="358"/>
      <c r="P7" s="358"/>
    </row>
    <row r="8" spans="1:16" x14ac:dyDescent="0.3">
      <c r="B8" s="117" t="s">
        <v>365</v>
      </c>
      <c r="C8" s="118"/>
      <c r="D8" s="3"/>
      <c r="E8" s="3"/>
      <c r="F8" s="3"/>
      <c r="G8" s="3"/>
      <c r="H8" s="3" t="s">
        <v>371</v>
      </c>
      <c r="I8" s="3" t="s">
        <v>372</v>
      </c>
      <c r="J8" s="3" t="s">
        <v>373</v>
      </c>
      <c r="K8" s="3"/>
      <c r="L8" s="3"/>
      <c r="M8" s="3"/>
      <c r="N8" s="2" t="s">
        <v>1150</v>
      </c>
      <c r="O8" s="124" t="s">
        <v>434</v>
      </c>
      <c r="P8" s="80" t="s">
        <v>1151</v>
      </c>
    </row>
    <row r="9" spans="1:16" x14ac:dyDescent="0.3">
      <c r="B9" s="117" t="s">
        <v>366</v>
      </c>
      <c r="C9" s="118"/>
      <c r="D9" s="3"/>
      <c r="E9" s="3"/>
      <c r="F9" s="3"/>
      <c r="G9" s="3"/>
      <c r="H9" s="3" t="s">
        <v>371</v>
      </c>
      <c r="I9" s="3" t="s">
        <v>372</v>
      </c>
      <c r="J9" s="3" t="s">
        <v>373</v>
      </c>
      <c r="K9" s="3"/>
      <c r="L9" s="3"/>
      <c r="M9" s="3"/>
      <c r="N9" s="3"/>
      <c r="O9" s="80"/>
      <c r="P9" s="80"/>
    </row>
    <row r="10" spans="1:16" x14ac:dyDescent="0.3">
      <c r="B10" s="117" t="s">
        <v>367</v>
      </c>
      <c r="C10" s="118"/>
      <c r="D10" s="3"/>
      <c r="E10" s="3"/>
      <c r="F10" s="3"/>
      <c r="G10" s="3"/>
      <c r="H10" s="3" t="s">
        <v>98</v>
      </c>
      <c r="I10" s="3" t="s">
        <v>374</v>
      </c>
      <c r="J10" s="3" t="s">
        <v>375</v>
      </c>
      <c r="K10" s="3"/>
      <c r="L10" s="3"/>
      <c r="M10" s="3"/>
      <c r="N10" s="3"/>
      <c r="O10" s="80"/>
      <c r="P10" s="80"/>
    </row>
    <row r="11" spans="1:16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80"/>
      <c r="P11" s="80"/>
    </row>
    <row r="13" spans="1:16" x14ac:dyDescent="0.3">
      <c r="N13" s="2"/>
    </row>
  </sheetData>
  <mergeCells count="1">
    <mergeCell ref="N7:P7"/>
  </mergeCells>
  <hyperlinks>
    <hyperlink ref="A1" location="Menu!A1" display="Menu"/>
    <hyperlink ref="N8" location="Income!A1" display="Receive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9"/>
  <sheetViews>
    <sheetView showGridLines="0" workbookViewId="0"/>
  </sheetViews>
  <sheetFormatPr defaultRowHeight="14.4" x14ac:dyDescent="0.3"/>
  <cols>
    <col min="2" max="2" width="14.5546875" customWidth="1"/>
    <col min="3" max="3" width="16.44140625" customWidth="1"/>
    <col min="4" max="4" width="12.44140625" customWidth="1"/>
    <col min="5" max="7" width="14.5546875" customWidth="1"/>
    <col min="8" max="8" width="19.88671875" bestFit="1" customWidth="1"/>
    <col min="9" max="9" width="23" customWidth="1"/>
    <col min="10" max="10" width="14.109375" bestFit="1" customWidth="1"/>
    <col min="11" max="11" width="6" bestFit="1" customWidth="1"/>
    <col min="12" max="12" width="11.77734375" bestFit="1" customWidth="1"/>
    <col min="13" max="13" width="4.109375" bestFit="1" customWidth="1"/>
  </cols>
  <sheetData>
    <row r="1" spans="1:13" x14ac:dyDescent="0.3">
      <c r="A1" s="2" t="s">
        <v>119</v>
      </c>
    </row>
    <row r="2" spans="1:13" x14ac:dyDescent="0.3">
      <c r="H2" s="21"/>
      <c r="I2" s="21"/>
      <c r="J2" s="21"/>
      <c r="K2" s="21"/>
      <c r="L2" s="21"/>
    </row>
    <row r="3" spans="1:13" x14ac:dyDescent="0.3">
      <c r="B3" s="40"/>
      <c r="C3" s="41"/>
      <c r="D3" s="41"/>
      <c r="E3" s="41"/>
      <c r="F3" s="41"/>
      <c r="G3" s="41"/>
      <c r="H3" s="41"/>
      <c r="I3" s="41" t="s">
        <v>997</v>
      </c>
      <c r="J3" s="41"/>
      <c r="K3" s="41"/>
      <c r="L3" s="41"/>
      <c r="M3" s="42"/>
    </row>
    <row r="7" spans="1:13" x14ac:dyDescent="0.3">
      <c r="D7" s="375" t="s">
        <v>996</v>
      </c>
      <c r="E7" s="375"/>
      <c r="F7" s="376" t="s">
        <v>1160</v>
      </c>
      <c r="G7" s="377"/>
      <c r="H7" s="375" t="s">
        <v>995</v>
      </c>
      <c r="I7" s="375"/>
    </row>
    <row r="8" spans="1:13" ht="43.2" x14ac:dyDescent="0.3">
      <c r="B8" s="296" t="s">
        <v>148</v>
      </c>
      <c r="C8" s="296" t="s">
        <v>985</v>
      </c>
      <c r="D8" s="297" t="s">
        <v>986</v>
      </c>
      <c r="E8" s="297" t="s">
        <v>987</v>
      </c>
      <c r="F8" s="313" t="s">
        <v>1161</v>
      </c>
      <c r="G8" s="313" t="s">
        <v>1162</v>
      </c>
      <c r="H8" s="298" t="s">
        <v>988</v>
      </c>
      <c r="I8" s="298" t="s">
        <v>989</v>
      </c>
    </row>
    <row r="9" spans="1:13" x14ac:dyDescent="0.3">
      <c r="B9" s="3">
        <v>1</v>
      </c>
      <c r="C9" t="s">
        <v>990</v>
      </c>
      <c r="D9" s="69"/>
      <c r="E9" s="69"/>
      <c r="F9" s="281"/>
      <c r="G9" s="281"/>
      <c r="H9" s="209"/>
      <c r="I9" s="209"/>
    </row>
    <row r="10" spans="1:13" x14ac:dyDescent="0.3">
      <c r="B10" s="3">
        <v>2</v>
      </c>
      <c r="C10" s="3" t="s">
        <v>991</v>
      </c>
      <c r="D10" s="69"/>
      <c r="E10" s="69"/>
      <c r="F10" s="281"/>
      <c r="G10" s="281"/>
      <c r="H10" s="209"/>
      <c r="I10" s="209"/>
    </row>
    <row r="11" spans="1:13" x14ac:dyDescent="0.3">
      <c r="B11" s="3">
        <v>3</v>
      </c>
      <c r="C11" s="3" t="s">
        <v>992</v>
      </c>
      <c r="D11" s="69"/>
      <c r="E11" s="69"/>
      <c r="F11" s="281"/>
      <c r="G11" s="281"/>
      <c r="H11" s="209"/>
      <c r="I11" s="209"/>
    </row>
    <row r="12" spans="1:13" x14ac:dyDescent="0.3">
      <c r="B12" s="3">
        <v>4</v>
      </c>
      <c r="C12" s="3" t="s">
        <v>993</v>
      </c>
      <c r="D12" s="69"/>
      <c r="E12" s="69"/>
      <c r="F12" s="281"/>
      <c r="G12" s="281"/>
      <c r="H12" s="209"/>
      <c r="I12" s="209"/>
    </row>
    <row r="13" spans="1:13" x14ac:dyDescent="0.3">
      <c r="B13" s="3">
        <v>5</v>
      </c>
      <c r="C13" s="3"/>
      <c r="D13" s="69"/>
      <c r="E13" s="69"/>
      <c r="F13" s="281"/>
      <c r="G13" s="281"/>
      <c r="H13" s="209"/>
      <c r="I13" s="209"/>
    </row>
    <row r="14" spans="1:13" x14ac:dyDescent="0.3">
      <c r="B14" s="3">
        <v>6</v>
      </c>
      <c r="C14" s="3"/>
      <c r="D14" s="69"/>
      <c r="E14" s="69"/>
      <c r="F14" s="281"/>
      <c r="G14" s="281"/>
      <c r="H14" s="209"/>
      <c r="I14" s="209"/>
    </row>
    <row r="15" spans="1:13" x14ac:dyDescent="0.3">
      <c r="B15" s="3">
        <v>7</v>
      </c>
      <c r="C15" s="3"/>
      <c r="D15" s="69"/>
      <c r="E15" s="69"/>
      <c r="F15" s="281"/>
      <c r="G15" s="281"/>
      <c r="H15" s="209"/>
      <c r="I15" s="209"/>
    </row>
    <row r="16" spans="1:13" x14ac:dyDescent="0.3">
      <c r="B16" s="3">
        <v>8</v>
      </c>
      <c r="C16" s="3"/>
      <c r="D16" s="69"/>
      <c r="E16" s="69"/>
      <c r="F16" s="281"/>
      <c r="G16" s="281"/>
      <c r="H16" s="209"/>
      <c r="I16" s="209"/>
    </row>
    <row r="17" spans="2:9" x14ac:dyDescent="0.3">
      <c r="B17" s="3">
        <v>9</v>
      </c>
      <c r="C17" s="3"/>
      <c r="D17" s="69"/>
      <c r="E17" s="69"/>
      <c r="F17" s="281"/>
      <c r="G17" s="281"/>
      <c r="H17" s="209"/>
      <c r="I17" s="209"/>
    </row>
    <row r="18" spans="2:9" x14ac:dyDescent="0.3">
      <c r="B18" s="3"/>
      <c r="C18" s="3"/>
      <c r="D18" s="69"/>
      <c r="E18" s="69"/>
      <c r="F18" s="281"/>
      <c r="G18" s="281"/>
      <c r="H18" s="209"/>
      <c r="I18" s="209"/>
    </row>
    <row r="19" spans="2:9" x14ac:dyDescent="0.3">
      <c r="C19" s="73" t="s">
        <v>994</v>
      </c>
      <c r="D19" s="222"/>
      <c r="E19" s="222"/>
      <c r="F19" s="222"/>
      <c r="G19" s="222"/>
      <c r="H19" s="222"/>
      <c r="I19" s="222"/>
    </row>
  </sheetData>
  <mergeCells count="3">
    <mergeCell ref="D7:E7"/>
    <mergeCell ref="H7:I7"/>
    <mergeCell ref="F7:G7"/>
  </mergeCells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7569" r:id="rId3" name="Drop Down 1">
              <controlPr defaultSize="0" autoLine="0" autoPict="0">
                <anchor moveWithCells="1">
                  <from>
                    <xdr:col>14</xdr:col>
                    <xdr:colOff>525780</xdr:colOff>
                    <xdr:row>1</xdr:row>
                    <xdr:rowOff>137160</xdr:rowOff>
                  </from>
                  <to>
                    <xdr:col>16</xdr:col>
                    <xdr:colOff>220980</xdr:colOff>
                    <xdr:row>2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68"/>
  <sheetViews>
    <sheetView showGridLines="0" zoomScale="115" zoomScaleNormal="115" workbookViewId="0"/>
  </sheetViews>
  <sheetFormatPr defaultRowHeight="14.4" x14ac:dyDescent="0.3"/>
  <cols>
    <col min="2" max="2" width="14.5546875" customWidth="1"/>
    <col min="3" max="3" width="16.44140625" customWidth="1"/>
    <col min="4" max="4" width="12.44140625" customWidth="1"/>
    <col min="5" max="5" width="14.5546875" customWidth="1"/>
    <col min="6" max="6" width="19.88671875" bestFit="1" customWidth="1"/>
    <col min="7" max="7" width="4.5546875" customWidth="1"/>
    <col min="8" max="8" width="14.109375" bestFit="1" customWidth="1"/>
    <col min="9" max="9" width="20.44140625" bestFit="1" customWidth="1"/>
    <col min="10" max="10" width="11.77734375" bestFit="1" customWidth="1"/>
    <col min="11" max="11" width="4.109375" bestFit="1" customWidth="1"/>
    <col min="12" max="12" width="10.44140625" customWidth="1"/>
    <col min="13" max="13" width="3.21875" customWidth="1"/>
    <col min="14" max="14" width="12.6640625" bestFit="1" customWidth="1"/>
    <col min="18" max="18" width="10.5546875" customWidth="1"/>
    <col min="19" max="19" width="3" customWidth="1"/>
    <col min="23" max="23" width="20.109375" customWidth="1"/>
    <col min="24" max="24" width="9.88671875" bestFit="1" customWidth="1"/>
    <col min="25" max="25" width="2.44140625" customWidth="1"/>
  </cols>
  <sheetData>
    <row r="1" spans="1:30" x14ac:dyDescent="0.3">
      <c r="A1" s="2" t="s">
        <v>119</v>
      </c>
    </row>
    <row r="2" spans="1:30" x14ac:dyDescent="0.3">
      <c r="F2" s="21"/>
      <c r="G2" s="21"/>
      <c r="H2" s="21"/>
      <c r="I2" s="21"/>
      <c r="J2" s="21"/>
    </row>
    <row r="3" spans="1:30" x14ac:dyDescent="0.3">
      <c r="B3" s="40"/>
      <c r="C3" s="41"/>
      <c r="D3" s="41"/>
      <c r="E3" s="41"/>
      <c r="F3" s="41"/>
      <c r="G3" s="41" t="s">
        <v>1001</v>
      </c>
      <c r="H3" s="41"/>
      <c r="I3" s="41"/>
      <c r="J3" s="41"/>
      <c r="K3" s="42"/>
    </row>
    <row r="6" spans="1:30" x14ac:dyDescent="0.3">
      <c r="B6" s="39" t="s">
        <v>1002</v>
      </c>
      <c r="C6" s="185" t="s">
        <v>1003</v>
      </c>
      <c r="D6" s="284" t="s">
        <v>1004</v>
      </c>
      <c r="E6" s="299" t="s">
        <v>1005</v>
      </c>
      <c r="F6" s="185" t="s">
        <v>1006</v>
      </c>
      <c r="H6" t="s">
        <v>1163</v>
      </c>
    </row>
    <row r="9" spans="1:30" x14ac:dyDescent="0.3">
      <c r="B9" s="39" t="s">
        <v>1002</v>
      </c>
      <c r="C9" s="289" t="s">
        <v>1007</v>
      </c>
      <c r="H9" s="185" t="s">
        <v>1003</v>
      </c>
      <c r="N9" s="284" t="s">
        <v>1004</v>
      </c>
      <c r="T9" s="299" t="s">
        <v>1005</v>
      </c>
      <c r="Z9" s="185" t="s">
        <v>1006</v>
      </c>
    </row>
    <row r="10" spans="1:30" x14ac:dyDescent="0.3">
      <c r="B10" s="63" t="s">
        <v>1008</v>
      </c>
      <c r="C10" s="63"/>
      <c r="D10" s="63"/>
      <c r="E10" s="63"/>
      <c r="F10" s="66" t="s">
        <v>1009</v>
      </c>
      <c r="H10" s="63" t="s">
        <v>1049</v>
      </c>
      <c r="I10" s="63"/>
      <c r="J10" s="63"/>
      <c r="K10" s="63"/>
      <c r="L10" s="66" t="s">
        <v>1009</v>
      </c>
      <c r="N10" s="63" t="s">
        <v>1053</v>
      </c>
      <c r="O10" s="63"/>
      <c r="P10" s="63"/>
      <c r="Q10" s="63"/>
      <c r="R10" s="66" t="s">
        <v>1009</v>
      </c>
      <c r="T10" s="63" t="s">
        <v>1058</v>
      </c>
      <c r="U10" s="63"/>
      <c r="V10" s="63"/>
      <c r="W10" s="63"/>
      <c r="X10" s="66" t="s">
        <v>1009</v>
      </c>
      <c r="Z10" s="63" t="s">
        <v>1071</v>
      </c>
      <c r="AA10" s="63"/>
      <c r="AB10" s="63"/>
      <c r="AC10" s="63"/>
      <c r="AD10" s="66" t="s">
        <v>1009</v>
      </c>
    </row>
    <row r="11" spans="1:30" x14ac:dyDescent="0.3">
      <c r="B11" t="s">
        <v>1040</v>
      </c>
      <c r="H11" t="s">
        <v>1040</v>
      </c>
      <c r="N11" t="s">
        <v>1054</v>
      </c>
      <c r="T11" t="s">
        <v>1059</v>
      </c>
      <c r="Z11" t="s">
        <v>1074</v>
      </c>
    </row>
    <row r="12" spans="1:30" x14ac:dyDescent="0.3">
      <c r="B12" t="s">
        <v>1041</v>
      </c>
      <c r="H12" t="s">
        <v>1041</v>
      </c>
      <c r="N12" s="300" t="s">
        <v>1055</v>
      </c>
      <c r="Z12" t="s">
        <v>1075</v>
      </c>
    </row>
    <row r="13" spans="1:30" x14ac:dyDescent="0.3">
      <c r="B13" t="s">
        <v>1042</v>
      </c>
      <c r="H13" t="s">
        <v>1042</v>
      </c>
      <c r="Z13" t="s">
        <v>1076</v>
      </c>
    </row>
    <row r="14" spans="1:30" x14ac:dyDescent="0.3">
      <c r="B14" t="s">
        <v>1043</v>
      </c>
      <c r="H14" t="s">
        <v>1043</v>
      </c>
    </row>
    <row r="15" spans="1:30" x14ac:dyDescent="0.3">
      <c r="B15" t="s">
        <v>1044</v>
      </c>
      <c r="H15" t="s">
        <v>1044</v>
      </c>
    </row>
    <row r="16" spans="1:30" x14ac:dyDescent="0.3">
      <c r="B16" t="s">
        <v>1045</v>
      </c>
      <c r="H16" t="s">
        <v>1045</v>
      </c>
    </row>
    <row r="17" spans="2:30" x14ac:dyDescent="0.3">
      <c r="B17" t="s">
        <v>1046</v>
      </c>
      <c r="H17" t="s">
        <v>1046</v>
      </c>
    </row>
    <row r="18" spans="2:30" x14ac:dyDescent="0.3">
      <c r="H18" t="s">
        <v>1105</v>
      </c>
    </row>
    <row r="19" spans="2:30" x14ac:dyDescent="0.3">
      <c r="B19" s="63" t="s">
        <v>1010</v>
      </c>
      <c r="C19" s="63"/>
      <c r="D19" s="63"/>
      <c r="E19" s="63"/>
      <c r="F19" s="66" t="s">
        <v>1009</v>
      </c>
      <c r="H19" s="63" t="s">
        <v>1047</v>
      </c>
      <c r="I19" s="63"/>
      <c r="J19" s="63"/>
      <c r="K19" s="63"/>
      <c r="L19" s="66" t="s">
        <v>1009</v>
      </c>
      <c r="N19" s="63" t="s">
        <v>1056</v>
      </c>
      <c r="O19" s="63"/>
      <c r="P19" s="63"/>
      <c r="Q19" s="63"/>
      <c r="R19" s="66" t="s">
        <v>1009</v>
      </c>
      <c r="T19" s="63" t="s">
        <v>1060</v>
      </c>
      <c r="U19" s="63"/>
      <c r="V19" s="63"/>
      <c r="W19" s="63"/>
      <c r="X19" s="66" t="s">
        <v>1009</v>
      </c>
      <c r="Z19" s="63" t="s">
        <v>1072</v>
      </c>
      <c r="AA19" s="63"/>
      <c r="AB19" s="63"/>
      <c r="AC19" s="63"/>
      <c r="AD19" s="66" t="s">
        <v>1009</v>
      </c>
    </row>
    <row r="20" spans="2:30" x14ac:dyDescent="0.3">
      <c r="N20" s="300" t="s">
        <v>1057</v>
      </c>
      <c r="T20" t="s">
        <v>1061</v>
      </c>
      <c r="Z20" t="s">
        <v>1073</v>
      </c>
    </row>
    <row r="21" spans="2:30" x14ac:dyDescent="0.3">
      <c r="T21" t="s">
        <v>1062</v>
      </c>
    </row>
    <row r="22" spans="2:30" x14ac:dyDescent="0.3">
      <c r="T22" t="s">
        <v>1063</v>
      </c>
    </row>
    <row r="23" spans="2:30" x14ac:dyDescent="0.3">
      <c r="B23" s="63" t="s">
        <v>1048</v>
      </c>
      <c r="C23" s="63"/>
      <c r="D23" s="63"/>
      <c r="E23" s="63"/>
      <c r="F23" s="66" t="s">
        <v>1009</v>
      </c>
      <c r="H23" s="63" t="s">
        <v>1050</v>
      </c>
      <c r="I23" s="63"/>
      <c r="J23" s="63"/>
      <c r="K23" s="63"/>
      <c r="L23" s="66" t="s">
        <v>1009</v>
      </c>
      <c r="T23" s="63" t="s">
        <v>1064</v>
      </c>
      <c r="U23" s="63"/>
      <c r="V23" s="63"/>
      <c r="W23" s="63"/>
      <c r="X23" s="66" t="s">
        <v>1009</v>
      </c>
      <c r="Z23" s="63" t="s">
        <v>1078</v>
      </c>
      <c r="AA23" s="63"/>
      <c r="AB23" s="63"/>
      <c r="AC23" s="63"/>
      <c r="AD23" s="66" t="s">
        <v>1009</v>
      </c>
    </row>
    <row r="24" spans="2:30" x14ac:dyDescent="0.3">
      <c r="H24" t="s">
        <v>1051</v>
      </c>
      <c r="T24" t="s">
        <v>1065</v>
      </c>
      <c r="Z24" t="s">
        <v>1040</v>
      </c>
    </row>
    <row r="25" spans="2:30" x14ac:dyDescent="0.3">
      <c r="Z25" t="s">
        <v>1041</v>
      </c>
    </row>
    <row r="26" spans="2:30" x14ac:dyDescent="0.3">
      <c r="Z26" t="s">
        <v>1042</v>
      </c>
    </row>
    <row r="27" spans="2:30" x14ac:dyDescent="0.3">
      <c r="B27" s="63" t="s">
        <v>1011</v>
      </c>
      <c r="C27" s="63"/>
      <c r="D27" s="63"/>
      <c r="E27" s="63"/>
      <c r="F27" s="66" t="s">
        <v>1009</v>
      </c>
      <c r="H27" s="63" t="s">
        <v>1052</v>
      </c>
      <c r="I27" s="63"/>
      <c r="J27" s="63"/>
      <c r="K27" s="63"/>
      <c r="L27" s="66" t="s">
        <v>1009</v>
      </c>
      <c r="T27" s="63" t="s">
        <v>1066</v>
      </c>
      <c r="U27" s="63"/>
      <c r="V27" s="63"/>
      <c r="W27" s="63"/>
      <c r="X27" s="66" t="s">
        <v>1009</v>
      </c>
      <c r="Z27" t="s">
        <v>1043</v>
      </c>
    </row>
    <row r="28" spans="2:30" x14ac:dyDescent="0.3">
      <c r="B28" t="s">
        <v>1012</v>
      </c>
      <c r="Z28" t="s">
        <v>1044</v>
      </c>
    </row>
    <row r="29" spans="2:30" x14ac:dyDescent="0.3">
      <c r="B29" t="s">
        <v>1013</v>
      </c>
      <c r="Z29" t="s">
        <v>1045</v>
      </c>
    </row>
    <row r="30" spans="2:30" x14ac:dyDescent="0.3">
      <c r="B30" t="s">
        <v>1014</v>
      </c>
      <c r="T30" s="63" t="s">
        <v>1067</v>
      </c>
      <c r="U30" s="63"/>
      <c r="V30" s="63"/>
      <c r="W30" s="63"/>
      <c r="X30" s="66" t="s">
        <v>1009</v>
      </c>
      <c r="Z30" t="s">
        <v>1046</v>
      </c>
    </row>
    <row r="31" spans="2:30" x14ac:dyDescent="0.3">
      <c r="B31" t="s">
        <v>1015</v>
      </c>
      <c r="Z31" t="s">
        <v>1105</v>
      </c>
    </row>
    <row r="32" spans="2:30" x14ac:dyDescent="0.3">
      <c r="B32" t="s">
        <v>1018</v>
      </c>
    </row>
    <row r="33" spans="2:30" x14ac:dyDescent="0.3">
      <c r="B33" t="s">
        <v>1016</v>
      </c>
      <c r="T33" s="63" t="s">
        <v>1068</v>
      </c>
      <c r="U33" s="63"/>
      <c r="V33" s="63"/>
      <c r="W33" s="63"/>
      <c r="X33" s="66" t="s">
        <v>1009</v>
      </c>
      <c r="Z33" s="63" t="s">
        <v>1079</v>
      </c>
      <c r="AA33" s="63"/>
      <c r="AB33" s="63"/>
      <c r="AC33" s="63"/>
      <c r="AD33" s="66" t="s">
        <v>1009</v>
      </c>
    </row>
    <row r="34" spans="2:30" x14ac:dyDescent="0.3">
      <c r="B34" t="s">
        <v>1017</v>
      </c>
      <c r="Z34" t="s">
        <v>1077</v>
      </c>
    </row>
    <row r="35" spans="2:30" x14ac:dyDescent="0.3">
      <c r="B35" t="s">
        <v>321</v>
      </c>
    </row>
    <row r="36" spans="2:30" x14ac:dyDescent="0.3">
      <c r="B36" t="s">
        <v>1019</v>
      </c>
      <c r="T36" s="63" t="s">
        <v>1069</v>
      </c>
      <c r="U36" s="63"/>
      <c r="V36" s="63"/>
      <c r="W36" s="63"/>
      <c r="X36" s="66" t="s">
        <v>1009</v>
      </c>
      <c r="Z36" s="63" t="s">
        <v>1080</v>
      </c>
      <c r="AA36" s="63"/>
      <c r="AB36" s="63"/>
      <c r="AC36" s="63"/>
      <c r="AD36" s="66" t="s">
        <v>1009</v>
      </c>
    </row>
    <row r="37" spans="2:30" x14ac:dyDescent="0.3">
      <c r="B37" t="s">
        <v>1020</v>
      </c>
      <c r="T37" t="s">
        <v>1070</v>
      </c>
      <c r="Z37" t="s">
        <v>1081</v>
      </c>
    </row>
    <row r="38" spans="2:30" x14ac:dyDescent="0.3">
      <c r="B38" t="s">
        <v>1021</v>
      </c>
    </row>
    <row r="39" spans="2:30" x14ac:dyDescent="0.3">
      <c r="B39" t="s">
        <v>1022</v>
      </c>
      <c r="Z39" s="63" t="s">
        <v>1082</v>
      </c>
      <c r="AA39" s="63"/>
      <c r="AB39" s="63"/>
      <c r="AC39" s="63"/>
      <c r="AD39" s="66" t="s">
        <v>1009</v>
      </c>
    </row>
    <row r="40" spans="2:30" x14ac:dyDescent="0.3">
      <c r="B40" t="s">
        <v>1023</v>
      </c>
      <c r="Z40" s="300" t="s">
        <v>1083</v>
      </c>
    </row>
    <row r="41" spans="2:30" x14ac:dyDescent="0.3">
      <c r="B41" t="s">
        <v>1024</v>
      </c>
      <c r="Z41" s="300" t="s">
        <v>1084</v>
      </c>
    </row>
    <row r="42" spans="2:30" x14ac:dyDescent="0.3">
      <c r="B42" t="s">
        <v>1025</v>
      </c>
      <c r="Z42" s="63" t="s">
        <v>1085</v>
      </c>
      <c r="AA42" s="63"/>
      <c r="AB42" s="63"/>
      <c r="AC42" s="63"/>
      <c r="AD42" s="66" t="s">
        <v>1009</v>
      </c>
    </row>
    <row r="43" spans="2:30" x14ac:dyDescent="0.3">
      <c r="B43" t="s">
        <v>1026</v>
      </c>
      <c r="Z43" s="300"/>
    </row>
    <row r="44" spans="2:30" x14ac:dyDescent="0.3">
      <c r="B44" t="s">
        <v>1027</v>
      </c>
    </row>
    <row r="45" spans="2:30" x14ac:dyDescent="0.3">
      <c r="B45" t="s">
        <v>1028</v>
      </c>
    </row>
    <row r="46" spans="2:30" x14ac:dyDescent="0.3">
      <c r="B46" t="s">
        <v>1029</v>
      </c>
    </row>
    <row r="47" spans="2:30" x14ac:dyDescent="0.3">
      <c r="B47" t="s">
        <v>1030</v>
      </c>
    </row>
    <row r="48" spans="2:30" x14ac:dyDescent="0.3">
      <c r="B48" t="s">
        <v>1031</v>
      </c>
    </row>
    <row r="49" spans="2:6" x14ac:dyDescent="0.3">
      <c r="B49" t="s">
        <v>1032</v>
      </c>
    </row>
    <row r="50" spans="2:6" x14ac:dyDescent="0.3">
      <c r="B50" t="s">
        <v>1033</v>
      </c>
    </row>
    <row r="51" spans="2:6" x14ac:dyDescent="0.3">
      <c r="B51" t="s">
        <v>1034</v>
      </c>
    </row>
    <row r="53" spans="2:6" x14ac:dyDescent="0.3">
      <c r="B53" s="63" t="s">
        <v>1035</v>
      </c>
      <c r="C53" s="63"/>
      <c r="D53" s="63"/>
      <c r="E53" s="63"/>
      <c r="F53" s="66" t="s">
        <v>1009</v>
      </c>
    </row>
    <row r="54" spans="2:6" x14ac:dyDescent="0.3">
      <c r="B54" t="s">
        <v>1036</v>
      </c>
    </row>
    <row r="55" spans="2:6" x14ac:dyDescent="0.3">
      <c r="B55" t="s">
        <v>1037</v>
      </c>
    </row>
    <row r="57" spans="2:6" x14ac:dyDescent="0.3">
      <c r="B57" s="63" t="s">
        <v>1038</v>
      </c>
      <c r="C57" s="63"/>
      <c r="D57" s="63"/>
      <c r="E57" s="63"/>
      <c r="F57" s="66" t="s">
        <v>1009</v>
      </c>
    </row>
    <row r="58" spans="2:6" x14ac:dyDescent="0.3">
      <c r="B58" t="s">
        <v>1039</v>
      </c>
    </row>
    <row r="64" spans="2:6" x14ac:dyDescent="0.3">
      <c r="B64" t="s">
        <v>1164</v>
      </c>
    </row>
    <row r="66" spans="2:3" x14ac:dyDescent="0.3">
      <c r="B66" t="s">
        <v>997</v>
      </c>
      <c r="C66" t="s">
        <v>1008</v>
      </c>
    </row>
    <row r="68" spans="2:3" x14ac:dyDescent="0.3">
      <c r="B68" t="s">
        <v>1165</v>
      </c>
      <c r="C68" t="s">
        <v>1040</v>
      </c>
    </row>
  </sheetData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8593" r:id="rId3" name="Drop Down 1">
              <controlPr defaultSize="0" autoLine="0" autoPict="0">
                <anchor moveWithCells="1">
                  <from>
                    <xdr:col>12</xdr:col>
                    <xdr:colOff>525780</xdr:colOff>
                    <xdr:row>1</xdr:row>
                    <xdr:rowOff>137160</xdr:rowOff>
                  </from>
                  <to>
                    <xdr:col>14</xdr:col>
                    <xdr:colOff>45720</xdr:colOff>
                    <xdr:row>2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9"/>
  <sheetViews>
    <sheetView showGridLines="0" topLeftCell="A7" workbookViewId="0">
      <selection activeCell="I21" sqref="I21"/>
    </sheetView>
  </sheetViews>
  <sheetFormatPr defaultRowHeight="14.4" x14ac:dyDescent="0.3"/>
  <cols>
    <col min="2" max="2" width="14.5546875" customWidth="1"/>
    <col min="3" max="3" width="16.44140625" customWidth="1"/>
    <col min="4" max="4" width="12.44140625" customWidth="1"/>
    <col min="5" max="5" width="14.5546875" customWidth="1"/>
    <col min="6" max="6" width="19.88671875" bestFit="1" customWidth="1"/>
    <col min="7" max="7" width="23" customWidth="1"/>
    <col min="8" max="8" width="14.109375" bestFit="1" customWidth="1"/>
    <col min="9" max="9" width="20.44140625" bestFit="1" customWidth="1"/>
    <col min="10" max="10" width="11.77734375" bestFit="1" customWidth="1"/>
    <col min="11" max="11" width="4.109375" bestFit="1" customWidth="1"/>
  </cols>
  <sheetData>
    <row r="1" spans="1:11" x14ac:dyDescent="0.3">
      <c r="A1" s="2" t="s">
        <v>119</v>
      </c>
    </row>
    <row r="2" spans="1:11" x14ac:dyDescent="0.3">
      <c r="F2" s="21"/>
      <c r="G2" s="21"/>
      <c r="H2" s="21"/>
      <c r="I2" s="21"/>
      <c r="J2" s="21"/>
    </row>
    <row r="3" spans="1:11" x14ac:dyDescent="0.3">
      <c r="B3" s="40"/>
      <c r="C3" s="41"/>
      <c r="D3" s="41"/>
      <c r="E3" s="41"/>
      <c r="F3" s="41"/>
      <c r="G3" s="41" t="s">
        <v>1086</v>
      </c>
      <c r="H3" s="41"/>
      <c r="I3" s="41"/>
      <c r="J3" s="41"/>
      <c r="K3" s="42"/>
    </row>
    <row r="7" spans="1:11" x14ac:dyDescent="0.3">
      <c r="C7" s="281" t="s">
        <v>1087</v>
      </c>
      <c r="D7" s="3"/>
    </row>
    <row r="9" spans="1:11" x14ac:dyDescent="0.3">
      <c r="C9" s="277" t="s">
        <v>1088</v>
      </c>
      <c r="D9" s="278"/>
      <c r="E9" s="279"/>
      <c r="F9" s="277" t="s">
        <v>1089</v>
      </c>
      <c r="G9" s="279"/>
    </row>
    <row r="10" spans="1:11" x14ac:dyDescent="0.3">
      <c r="C10" s="43" t="s">
        <v>1182</v>
      </c>
      <c r="D10" s="44"/>
      <c r="E10" s="45"/>
      <c r="F10" s="43"/>
      <c r="G10" s="45"/>
    </row>
    <row r="11" spans="1:11" x14ac:dyDescent="0.3">
      <c r="C11" s="46"/>
      <c r="D11" s="21"/>
      <c r="E11" s="48"/>
      <c r="F11" s="46"/>
      <c r="G11" s="48"/>
    </row>
    <row r="12" spans="1:11" x14ac:dyDescent="0.3">
      <c r="C12" s="46"/>
      <c r="D12" s="21"/>
      <c r="E12" s="48"/>
      <c r="F12" s="46" t="s">
        <v>1090</v>
      </c>
      <c r="G12" s="48"/>
    </row>
    <row r="13" spans="1:11" x14ac:dyDescent="0.3">
      <c r="C13" s="46"/>
      <c r="D13" s="21"/>
      <c r="E13" s="48"/>
      <c r="F13" s="46"/>
      <c r="G13" s="48"/>
    </row>
    <row r="14" spans="1:11" x14ac:dyDescent="0.3">
      <c r="C14" s="46"/>
      <c r="D14" s="21"/>
      <c r="E14" s="48"/>
      <c r="F14" s="46"/>
      <c r="G14" s="48"/>
    </row>
    <row r="15" spans="1:11" x14ac:dyDescent="0.3">
      <c r="C15" s="46"/>
      <c r="D15" s="21"/>
      <c r="E15" s="48"/>
      <c r="F15" s="46"/>
      <c r="G15" s="48"/>
    </row>
    <row r="16" spans="1:11" x14ac:dyDescent="0.3">
      <c r="C16" s="50"/>
      <c r="D16" s="1"/>
      <c r="E16" s="51"/>
      <c r="F16" s="50"/>
      <c r="G16" s="51"/>
    </row>
    <row r="19" spans="2:7" x14ac:dyDescent="0.3">
      <c r="C19" s="277" t="s">
        <v>1091</v>
      </c>
      <c r="D19" s="278"/>
      <c r="E19" s="279"/>
      <c r="F19" s="281" t="s">
        <v>1092</v>
      </c>
      <c r="G19" s="281" t="s">
        <v>1093</v>
      </c>
    </row>
    <row r="20" spans="2:7" ht="26.4" customHeight="1" x14ac:dyDescent="0.3">
      <c r="B20" t="s">
        <v>1184</v>
      </c>
      <c r="C20" s="20"/>
      <c r="D20" s="33"/>
      <c r="E20" s="34"/>
      <c r="F20" s="3"/>
      <c r="G20" s="3">
        <v>500000</v>
      </c>
    </row>
    <row r="21" spans="2:7" ht="23.4" customHeight="1" x14ac:dyDescent="0.3">
      <c r="B21" t="s">
        <v>1183</v>
      </c>
      <c r="C21" s="20"/>
      <c r="D21" s="33"/>
      <c r="E21" s="34"/>
      <c r="F21" s="3">
        <v>500000</v>
      </c>
      <c r="G21" s="3"/>
    </row>
    <row r="24" spans="2:7" x14ac:dyDescent="0.3">
      <c r="F24" s="32" t="s">
        <v>1094</v>
      </c>
      <c r="G24" s="3"/>
    </row>
    <row r="25" spans="2:7" x14ac:dyDescent="0.3">
      <c r="F25" s="32" t="s">
        <v>1095</v>
      </c>
      <c r="G25" s="3"/>
    </row>
    <row r="29" spans="2:7" x14ac:dyDescent="0.3">
      <c r="F29" t="s">
        <v>106</v>
      </c>
      <c r="G29" t="s">
        <v>1096</v>
      </c>
    </row>
  </sheetData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9617" r:id="rId3" name="Drop Down 1">
              <controlPr defaultSize="0" autoLine="0" autoPict="0">
                <anchor moveWithCells="1">
                  <from>
                    <xdr:col>12</xdr:col>
                    <xdr:colOff>525780</xdr:colOff>
                    <xdr:row>1</xdr:row>
                    <xdr:rowOff>137160</xdr:rowOff>
                  </from>
                  <to>
                    <xdr:col>14</xdr:col>
                    <xdr:colOff>220980</xdr:colOff>
                    <xdr:row>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618" r:id="rId4" name="Drop Down 2">
              <controlPr defaultSize="0" autoLine="0" autoPict="0">
                <anchor moveWithCells="1">
                  <from>
                    <xdr:col>2</xdr:col>
                    <xdr:colOff>15240</xdr:colOff>
                    <xdr:row>18</xdr:row>
                    <xdr:rowOff>167640</xdr:rowOff>
                  </from>
                  <to>
                    <xdr:col>5</xdr:col>
                    <xdr:colOff>7620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619" r:id="rId5" name="Drop Down 3">
              <controlPr defaultSize="0" autoLine="0" autoPict="0">
                <anchor moveWithCells="1">
                  <from>
                    <xdr:col>2</xdr:col>
                    <xdr:colOff>7620</xdr:colOff>
                    <xdr:row>19</xdr:row>
                    <xdr:rowOff>327660</xdr:rowOff>
                  </from>
                  <to>
                    <xdr:col>5</xdr:col>
                    <xdr:colOff>0</xdr:colOff>
                    <xdr:row>21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5"/>
  <sheetViews>
    <sheetView showGridLines="0" workbookViewId="0"/>
  </sheetViews>
  <sheetFormatPr defaultRowHeight="14.4" x14ac:dyDescent="0.3"/>
  <cols>
    <col min="2" max="2" width="14.5546875" customWidth="1"/>
    <col min="3" max="3" width="16.44140625" customWidth="1"/>
    <col min="4" max="4" width="12.44140625" customWidth="1"/>
    <col min="5" max="5" width="14.5546875" customWidth="1"/>
    <col min="6" max="6" width="19.88671875" bestFit="1" customWidth="1"/>
    <col min="7" max="7" width="23" customWidth="1"/>
    <col min="8" max="8" width="20.44140625" bestFit="1" customWidth="1"/>
    <col min="9" max="9" width="11.77734375" bestFit="1" customWidth="1"/>
    <col min="10" max="10" width="4.109375" bestFit="1" customWidth="1"/>
  </cols>
  <sheetData>
    <row r="1" spans="1:11" x14ac:dyDescent="0.3">
      <c r="A1" s="2" t="s">
        <v>119</v>
      </c>
    </row>
    <row r="2" spans="1:11" x14ac:dyDescent="0.3">
      <c r="F2" s="21"/>
      <c r="G2" s="21"/>
      <c r="H2" s="21"/>
      <c r="I2" s="21"/>
    </row>
    <row r="3" spans="1:11" x14ac:dyDescent="0.3">
      <c r="B3" s="40"/>
      <c r="C3" s="41"/>
      <c r="D3" s="41"/>
      <c r="E3" s="41"/>
      <c r="F3" s="41"/>
      <c r="G3" s="41" t="s">
        <v>1002</v>
      </c>
      <c r="H3" s="41"/>
      <c r="I3" s="41"/>
      <c r="J3" s="42"/>
    </row>
    <row r="7" spans="1:11" x14ac:dyDescent="0.3">
      <c r="C7" s="132" t="s">
        <v>1098</v>
      </c>
      <c r="D7" s="3"/>
    </row>
    <row r="9" spans="1:11" x14ac:dyDescent="0.3">
      <c r="C9" s="32" t="s">
        <v>1097</v>
      </c>
      <c r="D9" s="20" t="s">
        <v>382</v>
      </c>
      <c r="E9" s="34"/>
      <c r="F9" t="s">
        <v>1099</v>
      </c>
    </row>
    <row r="11" spans="1:11" x14ac:dyDescent="0.3">
      <c r="C11" t="s">
        <v>1100</v>
      </c>
      <c r="D11" s="20" t="s">
        <v>1139</v>
      </c>
      <c r="E11" s="34"/>
      <c r="F11" t="s">
        <v>1101</v>
      </c>
    </row>
    <row r="12" spans="1:11" x14ac:dyDescent="0.3">
      <c r="K12" t="s">
        <v>1114</v>
      </c>
    </row>
    <row r="13" spans="1:11" x14ac:dyDescent="0.3">
      <c r="C13" s="32" t="s">
        <v>1102</v>
      </c>
      <c r="D13" s="43"/>
      <c r="E13" s="44"/>
      <c r="F13" s="45"/>
      <c r="G13" s="3" t="s">
        <v>1103</v>
      </c>
      <c r="K13" t="s">
        <v>1115</v>
      </c>
    </row>
    <row r="14" spans="1:11" x14ac:dyDescent="0.3">
      <c r="D14" s="46"/>
      <c r="E14" s="21"/>
      <c r="F14" s="48"/>
      <c r="G14" s="71"/>
    </row>
    <row r="15" spans="1:11" x14ac:dyDescent="0.3">
      <c r="D15" s="50"/>
      <c r="E15" s="1"/>
      <c r="F15" s="51"/>
      <c r="G15" s="72"/>
    </row>
    <row r="16" spans="1:11" ht="18" x14ac:dyDescent="0.3">
      <c r="K16" s="304" t="s">
        <v>1116</v>
      </c>
    </row>
    <row r="17" spans="3:11" x14ac:dyDescent="0.3">
      <c r="C17" s="32" t="s">
        <v>1104</v>
      </c>
      <c r="F17" t="s">
        <v>1106</v>
      </c>
      <c r="G17" t="s">
        <v>1185</v>
      </c>
    </row>
    <row r="18" spans="3:11" x14ac:dyDescent="0.3">
      <c r="K18" t="s">
        <v>1117</v>
      </c>
    </row>
    <row r="19" spans="3:11" x14ac:dyDescent="0.3">
      <c r="C19" s="12" t="s">
        <v>1107</v>
      </c>
      <c r="D19" s="12"/>
      <c r="E19" s="12"/>
      <c r="F19" s="12"/>
      <c r="G19" s="302"/>
    </row>
    <row r="20" spans="3:11" x14ac:dyDescent="0.3">
      <c r="C20" t="s">
        <v>1108</v>
      </c>
      <c r="G20" t="s">
        <v>1109</v>
      </c>
      <c r="K20" s="211" t="s">
        <v>1118</v>
      </c>
    </row>
    <row r="21" spans="3:11" x14ac:dyDescent="0.3">
      <c r="G21" s="3">
        <v>100</v>
      </c>
      <c r="H21" s="303" t="s">
        <v>1110</v>
      </c>
      <c r="K21" s="305"/>
    </row>
    <row r="22" spans="3:11" x14ac:dyDescent="0.3">
      <c r="K22" s="306" t="s">
        <v>1119</v>
      </c>
    </row>
    <row r="23" spans="3:11" x14ac:dyDescent="0.3">
      <c r="K23" s="306" t="s">
        <v>1120</v>
      </c>
    </row>
    <row r="24" spans="3:11" x14ac:dyDescent="0.3">
      <c r="G24" s="132" t="s">
        <v>1111</v>
      </c>
      <c r="H24" s="3"/>
    </row>
    <row r="25" spans="3:11" x14ac:dyDescent="0.3">
      <c r="G25" s="132" t="s">
        <v>1112</v>
      </c>
      <c r="H25" s="3"/>
      <c r="K25" s="211" t="s">
        <v>1121</v>
      </c>
    </row>
    <row r="26" spans="3:11" x14ac:dyDescent="0.3">
      <c r="G26" s="132" t="s">
        <v>1113</v>
      </c>
      <c r="H26" s="3"/>
      <c r="K26" s="305"/>
    </row>
    <row r="27" spans="3:11" x14ac:dyDescent="0.3">
      <c r="K27" s="305" t="s">
        <v>1122</v>
      </c>
    </row>
    <row r="28" spans="3:11" x14ac:dyDescent="0.3">
      <c r="H28" s="12" t="s">
        <v>106</v>
      </c>
      <c r="K28" s="305" t="s">
        <v>1123</v>
      </c>
    </row>
    <row r="30" spans="3:11" ht="18" x14ac:dyDescent="0.3">
      <c r="K30" s="304" t="s">
        <v>1124</v>
      </c>
    </row>
    <row r="32" spans="3:11" x14ac:dyDescent="0.3">
      <c r="K32" t="s">
        <v>1125</v>
      </c>
    </row>
    <row r="34" spans="3:11" ht="18" x14ac:dyDescent="0.3">
      <c r="C34" s="304" t="s">
        <v>1116</v>
      </c>
      <c r="K34" s="211" t="s">
        <v>1126</v>
      </c>
    </row>
    <row r="35" spans="3:11" x14ac:dyDescent="0.3">
      <c r="K35" s="211" t="s">
        <v>1127</v>
      </c>
    </row>
    <row r="36" spans="3:11" x14ac:dyDescent="0.3">
      <c r="C36" t="s">
        <v>1128</v>
      </c>
    </row>
    <row r="38" spans="3:11" x14ac:dyDescent="0.3">
      <c r="C38" s="211" t="s">
        <v>1118</v>
      </c>
    </row>
    <row r="39" spans="3:11" x14ac:dyDescent="0.3">
      <c r="C39" s="305"/>
    </row>
    <row r="40" spans="3:11" x14ac:dyDescent="0.3">
      <c r="C40" s="306" t="s">
        <v>1129</v>
      </c>
    </row>
    <row r="41" spans="3:11" x14ac:dyDescent="0.3">
      <c r="C41" s="306" t="s">
        <v>1130</v>
      </c>
    </row>
    <row r="43" spans="3:11" x14ac:dyDescent="0.3">
      <c r="C43" t="s">
        <v>1131</v>
      </c>
    </row>
    <row r="45" spans="3:11" ht="18" x14ac:dyDescent="0.3">
      <c r="C45" s="304" t="s">
        <v>1132</v>
      </c>
    </row>
    <row r="47" spans="3:11" x14ac:dyDescent="0.3">
      <c r="C47" s="211" t="s">
        <v>1133</v>
      </c>
    </row>
    <row r="48" spans="3:11" x14ac:dyDescent="0.3">
      <c r="C48" s="305"/>
    </row>
    <row r="49" spans="3:3" x14ac:dyDescent="0.3">
      <c r="C49" s="305" t="s">
        <v>1134</v>
      </c>
    </row>
    <row r="50" spans="3:3" x14ac:dyDescent="0.3">
      <c r="C50" s="305" t="s">
        <v>1135</v>
      </c>
    </row>
    <row r="52" spans="3:3" x14ac:dyDescent="0.3">
      <c r="C52" s="211" t="s">
        <v>1136</v>
      </c>
    </row>
    <row r="53" spans="3:3" x14ac:dyDescent="0.3">
      <c r="C53" s="305"/>
    </row>
    <row r="54" spans="3:3" x14ac:dyDescent="0.3">
      <c r="C54" s="305" t="s">
        <v>1137</v>
      </c>
    </row>
    <row r="55" spans="3:3" x14ac:dyDescent="0.3">
      <c r="C55" s="305" t="s">
        <v>1138</v>
      </c>
    </row>
  </sheetData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7265" r:id="rId3" name="Drop Down 1">
              <controlPr defaultSize="0" autoLine="0" autoPict="0">
                <anchor moveWithCells="1">
                  <from>
                    <xdr:col>11</xdr:col>
                    <xdr:colOff>525780</xdr:colOff>
                    <xdr:row>1</xdr:row>
                    <xdr:rowOff>137160</xdr:rowOff>
                  </from>
                  <to>
                    <xdr:col>13</xdr:col>
                    <xdr:colOff>220980</xdr:colOff>
                    <xdr:row>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270" r:id="rId4" name="Drop Down 6">
              <controlPr defaultSize="0" autoLine="0" autoPict="0">
                <anchor moveWithCells="1">
                  <from>
                    <xdr:col>3</xdr:col>
                    <xdr:colOff>22860</xdr:colOff>
                    <xdr:row>15</xdr:row>
                    <xdr:rowOff>152400</xdr:rowOff>
                  </from>
                  <to>
                    <xdr:col>5</xdr:col>
                    <xdr:colOff>15240</xdr:colOff>
                    <xdr:row>16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271" r:id="rId5" name="Drop Down 7">
              <controlPr defaultSize="0" autoLine="0" autoPict="0">
                <anchor moveWithCells="1">
                  <from>
                    <xdr:col>1</xdr:col>
                    <xdr:colOff>952500</xdr:colOff>
                    <xdr:row>20</xdr:row>
                    <xdr:rowOff>0</xdr:rowOff>
                  </from>
                  <to>
                    <xdr:col>3</xdr:col>
                    <xdr:colOff>670560</xdr:colOff>
                    <xdr:row>21</xdr:row>
                    <xdr:rowOff>60960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2"/>
  <sheetViews>
    <sheetView showGridLines="0" workbookViewId="0"/>
  </sheetViews>
  <sheetFormatPr defaultRowHeight="14.4" x14ac:dyDescent="0.3"/>
  <cols>
    <col min="2" max="2" width="14.5546875" customWidth="1"/>
    <col min="3" max="3" width="16.44140625" customWidth="1"/>
    <col min="4" max="4" width="12.44140625" customWidth="1"/>
    <col min="5" max="5" width="14.5546875" customWidth="1"/>
    <col min="6" max="6" width="19.88671875" bestFit="1" customWidth="1"/>
    <col min="7" max="7" width="23" customWidth="1"/>
    <col min="8" max="8" width="20.44140625" bestFit="1" customWidth="1"/>
    <col min="9" max="9" width="11.77734375" bestFit="1" customWidth="1"/>
    <col min="10" max="10" width="4.109375" bestFit="1" customWidth="1"/>
  </cols>
  <sheetData>
    <row r="1" spans="1:11" x14ac:dyDescent="0.3">
      <c r="A1" s="2" t="s">
        <v>119</v>
      </c>
    </row>
    <row r="2" spans="1:11" x14ac:dyDescent="0.3">
      <c r="F2" s="21"/>
      <c r="G2" s="21"/>
      <c r="H2" s="21"/>
      <c r="I2" s="21"/>
    </row>
    <row r="3" spans="1:11" x14ac:dyDescent="0.3">
      <c r="B3" s="40"/>
      <c r="C3" s="41"/>
      <c r="D3" s="41"/>
      <c r="E3" s="41"/>
      <c r="F3" s="41"/>
      <c r="G3" s="41" t="s">
        <v>1002</v>
      </c>
      <c r="H3" s="41"/>
      <c r="I3" s="41"/>
      <c r="J3" s="42"/>
    </row>
    <row r="7" spans="1:11" x14ac:dyDescent="0.3">
      <c r="C7" s="132" t="s">
        <v>1098</v>
      </c>
      <c r="D7" s="3"/>
    </row>
    <row r="9" spans="1:11" x14ac:dyDescent="0.3">
      <c r="K9" t="s">
        <v>1114</v>
      </c>
    </row>
    <row r="10" spans="1:11" x14ac:dyDescent="0.3">
      <c r="C10" s="32" t="s">
        <v>1102</v>
      </c>
      <c r="D10" s="43"/>
      <c r="E10" s="44"/>
      <c r="F10" s="45"/>
      <c r="G10" s="3" t="s">
        <v>1103</v>
      </c>
      <c r="K10" t="s">
        <v>1115</v>
      </c>
    </row>
    <row r="11" spans="1:11" x14ac:dyDescent="0.3">
      <c r="D11" s="46"/>
      <c r="E11" s="21"/>
      <c r="F11" s="48"/>
      <c r="G11" s="71"/>
    </row>
    <row r="12" spans="1:11" x14ac:dyDescent="0.3">
      <c r="D12" s="50"/>
      <c r="E12" s="1"/>
      <c r="F12" s="51"/>
      <c r="G12" s="72"/>
    </row>
    <row r="13" spans="1:11" ht="18" x14ac:dyDescent="0.3">
      <c r="K13" s="304" t="s">
        <v>1116</v>
      </c>
    </row>
    <row r="14" spans="1:11" x14ac:dyDescent="0.3">
      <c r="C14" s="32" t="s">
        <v>1104</v>
      </c>
      <c r="F14" t="s">
        <v>1106</v>
      </c>
    </row>
    <row r="15" spans="1:11" x14ac:dyDescent="0.3">
      <c r="K15" t="s">
        <v>1117</v>
      </c>
    </row>
    <row r="16" spans="1:11" x14ac:dyDescent="0.3">
      <c r="C16" s="12" t="s">
        <v>1107</v>
      </c>
      <c r="D16" s="12"/>
      <c r="E16" s="12"/>
      <c r="F16" s="12"/>
      <c r="G16" s="302"/>
    </row>
    <row r="17" spans="3:11" x14ac:dyDescent="0.3">
      <c r="C17" t="s">
        <v>1108</v>
      </c>
      <c r="G17" t="s">
        <v>1109</v>
      </c>
      <c r="K17" s="211" t="s">
        <v>1118</v>
      </c>
    </row>
    <row r="18" spans="3:11" x14ac:dyDescent="0.3">
      <c r="G18" s="3"/>
      <c r="H18" s="303" t="s">
        <v>1110</v>
      </c>
      <c r="K18" s="305"/>
    </row>
    <row r="19" spans="3:11" x14ac:dyDescent="0.3">
      <c r="K19" s="306" t="s">
        <v>1119</v>
      </c>
    </row>
    <row r="20" spans="3:11" x14ac:dyDescent="0.3">
      <c r="K20" s="306" t="s">
        <v>1120</v>
      </c>
    </row>
    <row r="21" spans="3:11" x14ac:dyDescent="0.3">
      <c r="G21" s="132" t="s">
        <v>1111</v>
      </c>
      <c r="H21" s="3"/>
    </row>
    <row r="22" spans="3:11" x14ac:dyDescent="0.3">
      <c r="G22" s="132" t="s">
        <v>1112</v>
      </c>
      <c r="H22" s="3"/>
      <c r="K22" s="211" t="s">
        <v>1121</v>
      </c>
    </row>
    <row r="23" spans="3:11" x14ac:dyDescent="0.3">
      <c r="G23" s="132" t="s">
        <v>1113</v>
      </c>
      <c r="H23" s="3"/>
      <c r="K23" s="305"/>
    </row>
    <row r="24" spans="3:11" x14ac:dyDescent="0.3">
      <c r="K24" s="305" t="s">
        <v>1122</v>
      </c>
    </row>
    <row r="25" spans="3:11" x14ac:dyDescent="0.3">
      <c r="H25" s="12" t="s">
        <v>106</v>
      </c>
      <c r="K25" s="305" t="s">
        <v>1123</v>
      </c>
    </row>
    <row r="27" spans="3:11" ht="18" x14ac:dyDescent="0.3">
      <c r="K27" s="304" t="s">
        <v>1124</v>
      </c>
    </row>
    <row r="29" spans="3:11" x14ac:dyDescent="0.3">
      <c r="K29" t="s">
        <v>1125</v>
      </c>
    </row>
    <row r="31" spans="3:11" ht="18" x14ac:dyDescent="0.3">
      <c r="C31" s="304"/>
      <c r="K31" s="211" t="s">
        <v>1126</v>
      </c>
    </row>
    <row r="32" spans="3:11" x14ac:dyDescent="0.3">
      <c r="K32" s="211" t="s">
        <v>1127</v>
      </c>
    </row>
    <row r="35" spans="3:3" x14ac:dyDescent="0.3">
      <c r="C35" s="211"/>
    </row>
    <row r="36" spans="3:3" x14ac:dyDescent="0.3">
      <c r="C36" s="305"/>
    </row>
    <row r="37" spans="3:3" x14ac:dyDescent="0.3">
      <c r="C37" s="306"/>
    </row>
    <row r="38" spans="3:3" x14ac:dyDescent="0.3">
      <c r="C38" s="306"/>
    </row>
    <row r="42" spans="3:3" ht="18" x14ac:dyDescent="0.3">
      <c r="C42" s="304"/>
    </row>
    <row r="44" spans="3:3" x14ac:dyDescent="0.3">
      <c r="C44" s="211"/>
    </row>
    <row r="45" spans="3:3" x14ac:dyDescent="0.3">
      <c r="C45" s="305"/>
    </row>
    <row r="46" spans="3:3" x14ac:dyDescent="0.3">
      <c r="C46" s="305"/>
    </row>
    <row r="47" spans="3:3" x14ac:dyDescent="0.3">
      <c r="C47" s="305"/>
    </row>
    <row r="49" spans="3:3" x14ac:dyDescent="0.3">
      <c r="C49" s="211"/>
    </row>
    <row r="50" spans="3:3" x14ac:dyDescent="0.3">
      <c r="C50" s="305"/>
    </row>
    <row r="51" spans="3:3" x14ac:dyDescent="0.3">
      <c r="C51" s="305"/>
    </row>
    <row r="52" spans="3:3" x14ac:dyDescent="0.3">
      <c r="C52" s="305"/>
    </row>
  </sheetData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8289" r:id="rId3" name="Drop Down 1">
              <controlPr defaultSize="0" autoLine="0" autoPict="0">
                <anchor moveWithCells="1">
                  <from>
                    <xdr:col>11</xdr:col>
                    <xdr:colOff>525780</xdr:colOff>
                    <xdr:row>1</xdr:row>
                    <xdr:rowOff>137160</xdr:rowOff>
                  </from>
                  <to>
                    <xdr:col>13</xdr:col>
                    <xdr:colOff>220980</xdr:colOff>
                    <xdr:row>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290" r:id="rId4" name="Drop Down 2">
              <controlPr defaultSize="0" autoLine="0" autoPict="0">
                <anchor moveWithCells="1">
                  <from>
                    <xdr:col>3</xdr:col>
                    <xdr:colOff>22860</xdr:colOff>
                    <xdr:row>12</xdr:row>
                    <xdr:rowOff>152400</xdr:rowOff>
                  </from>
                  <to>
                    <xdr:col>5</xdr:col>
                    <xdr:colOff>15240</xdr:colOff>
                    <xdr:row>13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291" r:id="rId5" name="Drop Down 3">
              <controlPr defaultSize="0" autoLine="0" autoPict="0">
                <anchor moveWithCells="1">
                  <from>
                    <xdr:col>1</xdr:col>
                    <xdr:colOff>952500</xdr:colOff>
                    <xdr:row>17</xdr:row>
                    <xdr:rowOff>0</xdr:rowOff>
                  </from>
                  <to>
                    <xdr:col>3</xdr:col>
                    <xdr:colOff>670560</xdr:colOff>
                    <xdr:row>18</xdr:row>
                    <xdr:rowOff>60960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5"/>
  <sheetViews>
    <sheetView showGridLines="0" workbookViewId="0"/>
  </sheetViews>
  <sheetFormatPr defaultRowHeight="14.4" x14ac:dyDescent="0.3"/>
  <cols>
    <col min="2" max="2" width="14.5546875" customWidth="1"/>
    <col min="3" max="3" width="16.44140625" customWidth="1"/>
    <col min="4" max="4" width="12.44140625" customWidth="1"/>
    <col min="5" max="5" width="14.5546875" customWidth="1"/>
    <col min="6" max="6" width="19.88671875" bestFit="1" customWidth="1"/>
    <col min="7" max="7" width="23" customWidth="1"/>
    <col min="8" max="8" width="20.44140625" bestFit="1" customWidth="1"/>
    <col min="9" max="9" width="11.77734375" bestFit="1" customWidth="1"/>
    <col min="10" max="10" width="4.109375" bestFit="1" customWidth="1"/>
  </cols>
  <sheetData>
    <row r="1" spans="1:11" x14ac:dyDescent="0.3">
      <c r="A1" s="2" t="s">
        <v>119</v>
      </c>
    </row>
    <row r="2" spans="1:11" x14ac:dyDescent="0.3">
      <c r="F2" s="21"/>
      <c r="G2" s="21"/>
      <c r="H2" s="21"/>
      <c r="I2" s="21"/>
    </row>
    <row r="3" spans="1:11" x14ac:dyDescent="0.3">
      <c r="B3" s="40"/>
      <c r="C3" s="41"/>
      <c r="D3" s="41"/>
      <c r="E3" s="41"/>
      <c r="F3" s="41"/>
      <c r="G3" s="41" t="s">
        <v>1188</v>
      </c>
      <c r="H3" s="41"/>
      <c r="I3" s="41"/>
      <c r="J3" s="42"/>
    </row>
    <row r="7" spans="1:11" x14ac:dyDescent="0.3">
      <c r="C7" s="132" t="s">
        <v>1098</v>
      </c>
      <c r="D7" s="3"/>
    </row>
    <row r="9" spans="1:11" x14ac:dyDescent="0.3">
      <c r="C9" s="32" t="s">
        <v>1155</v>
      </c>
      <c r="D9" s="20"/>
      <c r="E9" s="34"/>
      <c r="F9" t="s">
        <v>1156</v>
      </c>
    </row>
    <row r="11" spans="1:11" x14ac:dyDescent="0.3">
      <c r="C11" t="s">
        <v>1100</v>
      </c>
      <c r="D11" s="20"/>
      <c r="E11" s="34"/>
      <c r="F11" t="s">
        <v>1101</v>
      </c>
    </row>
    <row r="13" spans="1:11" x14ac:dyDescent="0.3">
      <c r="C13" s="32" t="s">
        <v>1102</v>
      </c>
      <c r="D13" s="43"/>
      <c r="E13" s="44"/>
      <c r="F13" s="45"/>
      <c r="G13" s="3"/>
    </row>
    <row r="14" spans="1:11" x14ac:dyDescent="0.3">
      <c r="D14" s="46"/>
      <c r="E14" s="21"/>
      <c r="F14" s="48"/>
      <c r="G14" s="71"/>
    </row>
    <row r="15" spans="1:11" x14ac:dyDescent="0.3">
      <c r="D15" s="50"/>
      <c r="E15" s="1"/>
      <c r="F15" s="51"/>
      <c r="G15" s="72"/>
    </row>
    <row r="16" spans="1:11" ht="18" x14ac:dyDescent="0.3">
      <c r="K16" s="304"/>
    </row>
    <row r="17" spans="3:11" x14ac:dyDescent="0.3">
      <c r="C17" s="32" t="s">
        <v>1157</v>
      </c>
    </row>
    <row r="19" spans="3:11" x14ac:dyDescent="0.3">
      <c r="C19" s="12" t="s">
        <v>1158</v>
      </c>
      <c r="D19" s="12"/>
      <c r="E19" s="12"/>
      <c r="F19" s="12"/>
      <c r="G19" s="302"/>
    </row>
    <row r="20" spans="3:11" x14ac:dyDescent="0.3">
      <c r="C20" t="s">
        <v>1159</v>
      </c>
      <c r="G20" t="s">
        <v>1109</v>
      </c>
      <c r="K20" s="211"/>
    </row>
    <row r="21" spans="3:11" x14ac:dyDescent="0.3">
      <c r="G21" s="3"/>
      <c r="H21" s="303" t="s">
        <v>1110</v>
      </c>
      <c r="K21" s="305"/>
    </row>
    <row r="22" spans="3:11" x14ac:dyDescent="0.3">
      <c r="K22" s="306"/>
    </row>
    <row r="23" spans="3:11" x14ac:dyDescent="0.3">
      <c r="K23" s="306"/>
    </row>
    <row r="24" spans="3:11" x14ac:dyDescent="0.3">
      <c r="G24" s="132" t="s">
        <v>1111</v>
      </c>
      <c r="H24" s="3"/>
    </row>
    <row r="25" spans="3:11" x14ac:dyDescent="0.3">
      <c r="G25" s="132" t="s">
        <v>1112</v>
      </c>
      <c r="H25" s="3"/>
      <c r="K25" s="211"/>
    </row>
    <row r="26" spans="3:11" x14ac:dyDescent="0.3">
      <c r="G26" s="132" t="s">
        <v>1113</v>
      </c>
      <c r="H26" s="3"/>
      <c r="K26" s="305"/>
    </row>
    <row r="27" spans="3:11" x14ac:dyDescent="0.3">
      <c r="K27" s="305"/>
    </row>
    <row r="28" spans="3:11" x14ac:dyDescent="0.3">
      <c r="H28" s="12" t="s">
        <v>106</v>
      </c>
      <c r="K28" s="305"/>
    </row>
    <row r="30" spans="3:11" ht="18" x14ac:dyDescent="0.3">
      <c r="K30" s="304"/>
    </row>
    <row r="34" spans="3:11" ht="18" x14ac:dyDescent="0.3">
      <c r="C34" s="304"/>
      <c r="K34" s="211"/>
    </row>
    <row r="35" spans="3:11" x14ac:dyDescent="0.3">
      <c r="K35" s="211"/>
    </row>
    <row r="38" spans="3:11" x14ac:dyDescent="0.3">
      <c r="C38" s="211"/>
    </row>
    <row r="39" spans="3:11" x14ac:dyDescent="0.3">
      <c r="C39" s="305"/>
    </row>
    <row r="40" spans="3:11" x14ac:dyDescent="0.3">
      <c r="C40" s="306"/>
    </row>
    <row r="41" spans="3:11" x14ac:dyDescent="0.3">
      <c r="C41" s="306"/>
    </row>
    <row r="45" spans="3:11" ht="18" x14ac:dyDescent="0.3">
      <c r="C45" s="304"/>
    </row>
    <row r="47" spans="3:11" x14ac:dyDescent="0.3">
      <c r="C47" s="211"/>
    </row>
    <row r="48" spans="3:11" x14ac:dyDescent="0.3">
      <c r="C48" s="305"/>
    </row>
    <row r="49" spans="3:3" x14ac:dyDescent="0.3">
      <c r="C49" s="305"/>
    </row>
    <row r="50" spans="3:3" x14ac:dyDescent="0.3">
      <c r="C50" s="305"/>
    </row>
    <row r="52" spans="3:3" x14ac:dyDescent="0.3">
      <c r="C52" s="211"/>
    </row>
    <row r="53" spans="3:3" x14ac:dyDescent="0.3">
      <c r="C53" s="305"/>
    </row>
    <row r="54" spans="3:3" x14ac:dyDescent="0.3">
      <c r="C54" s="305"/>
    </row>
    <row r="55" spans="3:3" x14ac:dyDescent="0.3">
      <c r="C55" s="305"/>
    </row>
  </sheetData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4913" r:id="rId3" name="Drop Down 1">
              <controlPr defaultSize="0" autoLine="0" autoPict="0">
                <anchor moveWithCells="1">
                  <from>
                    <xdr:col>11</xdr:col>
                    <xdr:colOff>525780</xdr:colOff>
                    <xdr:row>1</xdr:row>
                    <xdr:rowOff>137160</xdr:rowOff>
                  </from>
                  <to>
                    <xdr:col>13</xdr:col>
                    <xdr:colOff>220980</xdr:colOff>
                    <xdr:row>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914" r:id="rId4" name="Drop Down 2">
              <controlPr defaultSize="0" autoLine="0" autoPict="0">
                <anchor moveWithCells="1">
                  <from>
                    <xdr:col>3</xdr:col>
                    <xdr:colOff>22860</xdr:colOff>
                    <xdr:row>15</xdr:row>
                    <xdr:rowOff>152400</xdr:rowOff>
                  </from>
                  <to>
                    <xdr:col>5</xdr:col>
                    <xdr:colOff>15240</xdr:colOff>
                    <xdr:row>16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915" r:id="rId5" name="Drop Down 3">
              <controlPr defaultSize="0" autoLine="0" autoPict="0">
                <anchor moveWithCells="1">
                  <from>
                    <xdr:col>1</xdr:col>
                    <xdr:colOff>952500</xdr:colOff>
                    <xdr:row>20</xdr:row>
                    <xdr:rowOff>0</xdr:rowOff>
                  </from>
                  <to>
                    <xdr:col>3</xdr:col>
                    <xdr:colOff>670560</xdr:colOff>
                    <xdr:row>21</xdr:row>
                    <xdr:rowOff>60960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2"/>
  <sheetViews>
    <sheetView showGridLines="0" workbookViewId="0"/>
  </sheetViews>
  <sheetFormatPr defaultRowHeight="14.4" x14ac:dyDescent="0.3"/>
  <cols>
    <col min="2" max="2" width="14.5546875" customWidth="1"/>
    <col min="3" max="3" width="16.44140625" customWidth="1"/>
    <col min="4" max="4" width="12.44140625" customWidth="1"/>
    <col min="5" max="5" width="14.5546875" customWidth="1"/>
    <col min="6" max="6" width="19.88671875" bestFit="1" customWidth="1"/>
    <col min="7" max="7" width="23" customWidth="1"/>
    <col min="8" max="8" width="20.44140625" bestFit="1" customWidth="1"/>
    <col min="9" max="9" width="11.77734375" bestFit="1" customWidth="1"/>
    <col min="10" max="10" width="4.109375" bestFit="1" customWidth="1"/>
  </cols>
  <sheetData>
    <row r="1" spans="1:11" x14ac:dyDescent="0.3">
      <c r="A1" s="2" t="s">
        <v>119</v>
      </c>
    </row>
    <row r="2" spans="1:11" x14ac:dyDescent="0.3">
      <c r="F2" s="21"/>
      <c r="G2" s="21"/>
      <c r="H2" s="21"/>
      <c r="I2" s="21"/>
    </row>
    <row r="3" spans="1:11" x14ac:dyDescent="0.3">
      <c r="B3" s="40"/>
      <c r="C3" s="41"/>
      <c r="D3" s="41"/>
      <c r="E3" s="41"/>
      <c r="F3" s="41"/>
      <c r="G3" s="41" t="s">
        <v>1003</v>
      </c>
      <c r="H3" s="41"/>
      <c r="I3" s="41"/>
      <c r="J3" s="42"/>
    </row>
    <row r="7" spans="1:11" x14ac:dyDescent="0.3">
      <c r="C7" s="132" t="s">
        <v>1098</v>
      </c>
      <c r="D7" s="3"/>
    </row>
    <row r="10" spans="1:11" x14ac:dyDescent="0.3">
      <c r="C10" s="32" t="s">
        <v>1102</v>
      </c>
      <c r="D10" s="43"/>
      <c r="E10" s="44"/>
      <c r="F10" s="45"/>
      <c r="G10" s="3"/>
    </row>
    <row r="11" spans="1:11" x14ac:dyDescent="0.3">
      <c r="D11" s="46"/>
      <c r="E11" s="21"/>
      <c r="F11" s="48"/>
      <c r="G11" s="71"/>
    </row>
    <row r="12" spans="1:11" x14ac:dyDescent="0.3">
      <c r="D12" s="50"/>
      <c r="E12" s="1"/>
      <c r="F12" s="51"/>
      <c r="G12" s="72"/>
    </row>
    <row r="13" spans="1:11" ht="18" x14ac:dyDescent="0.3">
      <c r="K13" s="304"/>
    </row>
    <row r="14" spans="1:11" x14ac:dyDescent="0.3">
      <c r="C14" s="32" t="s">
        <v>1157</v>
      </c>
      <c r="F14" t="s">
        <v>1186</v>
      </c>
    </row>
    <row r="16" spans="1:11" x14ac:dyDescent="0.3">
      <c r="C16" s="12" t="s">
        <v>1158</v>
      </c>
      <c r="D16" s="12"/>
      <c r="E16" s="12"/>
      <c r="F16" s="12"/>
      <c r="G16" s="302"/>
    </row>
    <row r="17" spans="3:11" x14ac:dyDescent="0.3">
      <c r="C17" t="s">
        <v>1159</v>
      </c>
      <c r="G17" t="s">
        <v>1109</v>
      </c>
      <c r="K17" s="211"/>
    </row>
    <row r="18" spans="3:11" x14ac:dyDescent="0.3">
      <c r="G18" s="3"/>
      <c r="H18" s="303" t="s">
        <v>1110</v>
      </c>
      <c r="K18" s="305"/>
    </row>
    <row r="19" spans="3:11" x14ac:dyDescent="0.3">
      <c r="K19" s="306"/>
    </row>
    <row r="20" spans="3:11" x14ac:dyDescent="0.3">
      <c r="K20" s="306"/>
    </row>
    <row r="21" spans="3:11" x14ac:dyDescent="0.3">
      <c r="G21" s="132" t="s">
        <v>1111</v>
      </c>
      <c r="H21" s="3"/>
    </row>
    <row r="22" spans="3:11" x14ac:dyDescent="0.3">
      <c r="G22" s="132" t="s">
        <v>1112</v>
      </c>
      <c r="H22" s="3"/>
      <c r="K22" s="211"/>
    </row>
    <row r="23" spans="3:11" x14ac:dyDescent="0.3">
      <c r="G23" s="132" t="s">
        <v>1113</v>
      </c>
      <c r="H23" s="3"/>
      <c r="K23" s="305"/>
    </row>
    <row r="24" spans="3:11" x14ac:dyDescent="0.3">
      <c r="K24" s="305"/>
    </row>
    <row r="25" spans="3:11" x14ac:dyDescent="0.3">
      <c r="H25" s="12" t="s">
        <v>106</v>
      </c>
      <c r="K25" s="305"/>
    </row>
    <row r="27" spans="3:11" ht="18" x14ac:dyDescent="0.3">
      <c r="K27" s="304"/>
    </row>
    <row r="31" spans="3:11" ht="18" x14ac:dyDescent="0.3">
      <c r="C31" s="304"/>
      <c r="K31" s="211"/>
    </row>
    <row r="32" spans="3:11" x14ac:dyDescent="0.3">
      <c r="K32" s="211"/>
    </row>
    <row r="35" spans="3:3" x14ac:dyDescent="0.3">
      <c r="C35" s="211"/>
    </row>
    <row r="36" spans="3:3" x14ac:dyDescent="0.3">
      <c r="C36" s="305"/>
    </row>
    <row r="37" spans="3:3" x14ac:dyDescent="0.3">
      <c r="C37" s="306"/>
    </row>
    <row r="38" spans="3:3" x14ac:dyDescent="0.3">
      <c r="C38" s="306"/>
    </row>
    <row r="42" spans="3:3" ht="18" x14ac:dyDescent="0.3">
      <c r="C42" s="304"/>
    </row>
    <row r="44" spans="3:3" x14ac:dyDescent="0.3">
      <c r="C44" s="211"/>
    </row>
    <row r="45" spans="3:3" x14ac:dyDescent="0.3">
      <c r="C45" s="305"/>
    </row>
    <row r="46" spans="3:3" x14ac:dyDescent="0.3">
      <c r="C46" s="305"/>
    </row>
    <row r="47" spans="3:3" x14ac:dyDescent="0.3">
      <c r="C47" s="305"/>
    </row>
    <row r="49" spans="3:3" x14ac:dyDescent="0.3">
      <c r="C49" s="211"/>
    </row>
    <row r="50" spans="3:3" x14ac:dyDescent="0.3">
      <c r="C50" s="305"/>
    </row>
    <row r="51" spans="3:3" x14ac:dyDescent="0.3">
      <c r="C51" s="305"/>
    </row>
    <row r="52" spans="3:3" x14ac:dyDescent="0.3">
      <c r="C52" s="305"/>
    </row>
  </sheetData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7985" r:id="rId3" name="Drop Down 1">
              <controlPr defaultSize="0" autoLine="0" autoPict="0">
                <anchor moveWithCells="1">
                  <from>
                    <xdr:col>11</xdr:col>
                    <xdr:colOff>525780</xdr:colOff>
                    <xdr:row>1</xdr:row>
                    <xdr:rowOff>137160</xdr:rowOff>
                  </from>
                  <to>
                    <xdr:col>13</xdr:col>
                    <xdr:colOff>220980</xdr:colOff>
                    <xdr:row>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986" r:id="rId4" name="Drop Down 2">
              <controlPr defaultSize="0" autoLine="0" autoPict="0">
                <anchor moveWithCells="1">
                  <from>
                    <xdr:col>3</xdr:col>
                    <xdr:colOff>22860</xdr:colOff>
                    <xdr:row>12</xdr:row>
                    <xdr:rowOff>152400</xdr:rowOff>
                  </from>
                  <to>
                    <xdr:col>5</xdr:col>
                    <xdr:colOff>15240</xdr:colOff>
                    <xdr:row>13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987" r:id="rId5" name="Drop Down 3">
              <controlPr defaultSize="0" autoLine="0" autoPict="0">
                <anchor moveWithCells="1">
                  <from>
                    <xdr:col>1</xdr:col>
                    <xdr:colOff>952500</xdr:colOff>
                    <xdr:row>17</xdr:row>
                    <xdr:rowOff>0</xdr:rowOff>
                  </from>
                  <to>
                    <xdr:col>3</xdr:col>
                    <xdr:colOff>670560</xdr:colOff>
                    <xdr:row>18</xdr:row>
                    <xdr:rowOff>60960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1"/>
  <sheetViews>
    <sheetView showGridLines="0" workbookViewId="0"/>
  </sheetViews>
  <sheetFormatPr defaultRowHeight="14.4" x14ac:dyDescent="0.3"/>
  <cols>
    <col min="2" max="2" width="14.5546875" customWidth="1"/>
    <col min="3" max="3" width="16.44140625" customWidth="1"/>
    <col min="4" max="4" width="12.44140625" customWidth="1"/>
    <col min="5" max="5" width="14.5546875" customWidth="1"/>
    <col min="6" max="6" width="19.88671875" bestFit="1" customWidth="1"/>
    <col min="7" max="7" width="23" customWidth="1"/>
    <col min="8" max="8" width="20.44140625" bestFit="1" customWidth="1"/>
    <col min="9" max="9" width="11.77734375" bestFit="1" customWidth="1"/>
    <col min="10" max="10" width="4.109375" bestFit="1" customWidth="1"/>
  </cols>
  <sheetData>
    <row r="1" spans="1:11" x14ac:dyDescent="0.3">
      <c r="A1" s="2" t="s">
        <v>119</v>
      </c>
    </row>
    <row r="2" spans="1:11" x14ac:dyDescent="0.3">
      <c r="F2" s="21"/>
      <c r="G2" s="21"/>
      <c r="H2" s="21"/>
      <c r="I2" s="21"/>
    </row>
    <row r="3" spans="1:11" x14ac:dyDescent="0.3">
      <c r="B3" s="40"/>
      <c r="C3" s="41"/>
      <c r="D3" s="41"/>
      <c r="E3" s="41"/>
      <c r="F3" s="41"/>
      <c r="G3" s="41" t="s">
        <v>1003</v>
      </c>
      <c r="H3" s="41"/>
      <c r="I3" s="41"/>
      <c r="J3" s="42"/>
    </row>
    <row r="7" spans="1:11" x14ac:dyDescent="0.3">
      <c r="C7" s="132" t="s">
        <v>1098</v>
      </c>
      <c r="D7" s="3"/>
    </row>
    <row r="9" spans="1:11" x14ac:dyDescent="0.3">
      <c r="C9" t="s">
        <v>1191</v>
      </c>
      <c r="F9" s="32" t="s">
        <v>1192</v>
      </c>
    </row>
    <row r="11" spans="1:11" x14ac:dyDescent="0.3">
      <c r="C11" s="32" t="s">
        <v>1102</v>
      </c>
      <c r="D11" s="43"/>
      <c r="E11" s="44"/>
      <c r="F11" s="45"/>
      <c r="G11" s="3"/>
    </row>
    <row r="12" spans="1:11" x14ac:dyDescent="0.3">
      <c r="D12" s="46"/>
      <c r="E12" s="21"/>
      <c r="F12" s="48"/>
      <c r="G12" s="71"/>
    </row>
    <row r="13" spans="1:11" x14ac:dyDescent="0.3">
      <c r="D13" s="50"/>
      <c r="E13" s="1"/>
      <c r="F13" s="51"/>
      <c r="G13" s="72"/>
    </row>
    <row r="15" spans="1:11" x14ac:dyDescent="0.3">
      <c r="C15" s="12" t="s">
        <v>1193</v>
      </c>
      <c r="D15" s="12"/>
      <c r="E15" s="12"/>
      <c r="F15" s="12"/>
      <c r="G15" s="302"/>
    </row>
    <row r="16" spans="1:11" x14ac:dyDescent="0.3">
      <c r="C16" t="s">
        <v>1194</v>
      </c>
      <c r="G16" t="s">
        <v>1109</v>
      </c>
      <c r="K16" s="211"/>
    </row>
    <row r="17" spans="3:11" x14ac:dyDescent="0.3">
      <c r="G17" s="3"/>
      <c r="H17" s="303" t="s">
        <v>1110</v>
      </c>
      <c r="K17" s="305"/>
    </row>
    <row r="18" spans="3:11" x14ac:dyDescent="0.3">
      <c r="K18" s="306"/>
    </row>
    <row r="19" spans="3:11" x14ac:dyDescent="0.3">
      <c r="K19" s="306"/>
    </row>
    <row r="20" spans="3:11" x14ac:dyDescent="0.3">
      <c r="G20" s="132" t="s">
        <v>1111</v>
      </c>
      <c r="H20" s="3"/>
    </row>
    <row r="21" spans="3:11" x14ac:dyDescent="0.3">
      <c r="G21" s="132" t="s">
        <v>1112</v>
      </c>
      <c r="H21" s="3"/>
      <c r="K21" s="211"/>
    </row>
    <row r="22" spans="3:11" x14ac:dyDescent="0.3">
      <c r="G22" s="132" t="s">
        <v>1113</v>
      </c>
      <c r="H22" s="3"/>
      <c r="K22" s="305"/>
    </row>
    <row r="23" spans="3:11" x14ac:dyDescent="0.3">
      <c r="K23" s="305"/>
    </row>
    <row r="24" spans="3:11" x14ac:dyDescent="0.3">
      <c r="H24" s="12" t="s">
        <v>106</v>
      </c>
      <c r="K24" s="305"/>
    </row>
    <row r="26" spans="3:11" ht="18" x14ac:dyDescent="0.3">
      <c r="K26" s="304"/>
    </row>
    <row r="30" spans="3:11" ht="18" x14ac:dyDescent="0.3">
      <c r="C30" s="304"/>
      <c r="K30" s="211"/>
    </row>
    <row r="31" spans="3:11" x14ac:dyDescent="0.3">
      <c r="K31" s="211"/>
    </row>
    <row r="34" spans="3:3" x14ac:dyDescent="0.3">
      <c r="C34" s="211"/>
    </row>
    <row r="35" spans="3:3" x14ac:dyDescent="0.3">
      <c r="C35" s="305"/>
    </row>
    <row r="36" spans="3:3" x14ac:dyDescent="0.3">
      <c r="C36" s="306"/>
    </row>
    <row r="37" spans="3:3" x14ac:dyDescent="0.3">
      <c r="C37" s="306"/>
    </row>
    <row r="41" spans="3:3" ht="18" x14ac:dyDescent="0.3">
      <c r="C41" s="304"/>
    </row>
    <row r="43" spans="3:3" x14ac:dyDescent="0.3">
      <c r="C43" s="211"/>
    </row>
    <row r="44" spans="3:3" x14ac:dyDescent="0.3">
      <c r="C44" s="305"/>
    </row>
    <row r="45" spans="3:3" x14ac:dyDescent="0.3">
      <c r="C45" s="305"/>
    </row>
    <row r="46" spans="3:3" x14ac:dyDescent="0.3">
      <c r="C46" s="305"/>
    </row>
    <row r="48" spans="3:3" x14ac:dyDescent="0.3">
      <c r="C48" s="211"/>
    </row>
    <row r="49" spans="3:3" x14ac:dyDescent="0.3">
      <c r="C49" s="305"/>
    </row>
    <row r="50" spans="3:3" x14ac:dyDescent="0.3">
      <c r="C50" s="305"/>
    </row>
    <row r="51" spans="3:3" x14ac:dyDescent="0.3">
      <c r="C51" s="305"/>
    </row>
  </sheetData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9009" r:id="rId3" name="Drop Down 1">
              <controlPr defaultSize="0" autoLine="0" autoPict="0">
                <anchor moveWithCells="1">
                  <from>
                    <xdr:col>11</xdr:col>
                    <xdr:colOff>525780</xdr:colOff>
                    <xdr:row>1</xdr:row>
                    <xdr:rowOff>137160</xdr:rowOff>
                  </from>
                  <to>
                    <xdr:col>13</xdr:col>
                    <xdr:colOff>220980</xdr:colOff>
                    <xdr:row>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011" r:id="rId4" name="Drop Down 3">
              <controlPr defaultSize="0" autoLine="0" autoPict="0">
                <anchor moveWithCells="1">
                  <from>
                    <xdr:col>1</xdr:col>
                    <xdr:colOff>952500</xdr:colOff>
                    <xdr:row>16</xdr:row>
                    <xdr:rowOff>0</xdr:rowOff>
                  </from>
                  <to>
                    <xdr:col>3</xdr:col>
                    <xdr:colOff>670560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012" r:id="rId5" name="Drop Down 4">
              <controlPr defaultSize="0" autoLine="0" autoPict="0">
                <anchor moveWithCells="1">
                  <from>
                    <xdr:col>3</xdr:col>
                    <xdr:colOff>7620</xdr:colOff>
                    <xdr:row>7</xdr:row>
                    <xdr:rowOff>160020</xdr:rowOff>
                  </from>
                  <to>
                    <xdr:col>5</xdr:col>
                    <xdr:colOff>167640</xdr:colOff>
                    <xdr:row>9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91"/>
  <sheetViews>
    <sheetView showGridLines="0" workbookViewId="0"/>
  </sheetViews>
  <sheetFormatPr defaultRowHeight="14.4" x14ac:dyDescent="0.3"/>
  <cols>
    <col min="2" max="2" width="14.5546875" customWidth="1"/>
    <col min="3" max="3" width="28.33203125" customWidth="1"/>
    <col min="4" max="4" width="12.44140625" customWidth="1"/>
    <col min="5" max="5" width="14.5546875" customWidth="1"/>
    <col min="6" max="6" width="19.88671875" bestFit="1" customWidth="1"/>
    <col min="7" max="7" width="23" customWidth="1"/>
    <col min="8" max="8" width="20.44140625" bestFit="1" customWidth="1"/>
    <col min="9" max="9" width="11.77734375" bestFit="1" customWidth="1"/>
    <col min="10" max="10" width="4.109375" bestFit="1" customWidth="1"/>
  </cols>
  <sheetData>
    <row r="1" spans="1:11" x14ac:dyDescent="0.3">
      <c r="A1" s="2" t="s">
        <v>119</v>
      </c>
    </row>
    <row r="2" spans="1:11" x14ac:dyDescent="0.3">
      <c r="F2" s="21"/>
      <c r="G2" s="21"/>
      <c r="H2" s="21"/>
      <c r="I2" s="21"/>
    </row>
    <row r="3" spans="1:11" x14ac:dyDescent="0.3">
      <c r="B3" s="40"/>
      <c r="C3" s="41"/>
      <c r="D3" s="41"/>
      <c r="E3" s="41"/>
      <c r="F3" s="41"/>
      <c r="G3" s="41" t="s">
        <v>1479</v>
      </c>
      <c r="H3" s="41"/>
      <c r="I3" s="41"/>
      <c r="J3" s="42"/>
    </row>
    <row r="6" spans="1:11" x14ac:dyDescent="0.3">
      <c r="C6" s="211" t="s">
        <v>1400</v>
      </c>
    </row>
    <row r="7" spans="1:11" x14ac:dyDescent="0.3">
      <c r="C7" s="211" t="s">
        <v>1401</v>
      </c>
      <c r="G7" s="14"/>
      <c r="H7" s="14"/>
    </row>
    <row r="8" spans="1:11" x14ac:dyDescent="0.3">
      <c r="C8" s="211" t="s">
        <v>1402</v>
      </c>
      <c r="G8" s="14"/>
      <c r="H8" s="14"/>
    </row>
    <row r="9" spans="1:11" x14ac:dyDescent="0.3">
      <c r="C9" s="211" t="s">
        <v>1403</v>
      </c>
      <c r="G9" s="14"/>
      <c r="H9" s="14"/>
    </row>
    <row r="10" spans="1:11" x14ac:dyDescent="0.3">
      <c r="G10" s="14"/>
      <c r="H10" s="14"/>
    </row>
    <row r="11" spans="1:11" ht="28.8" x14ac:dyDescent="0.3">
      <c r="C11" s="325" t="s">
        <v>1404</v>
      </c>
      <c r="D11" s="325" t="s">
        <v>1405</v>
      </c>
      <c r="E11" s="325" t="s">
        <v>1406</v>
      </c>
      <c r="F11" s="325" t="s">
        <v>1407</v>
      </c>
      <c r="G11" s="14"/>
      <c r="H11" s="14"/>
    </row>
    <row r="12" spans="1:11" x14ac:dyDescent="0.3">
      <c r="C12" s="324" t="s">
        <v>1408</v>
      </c>
      <c r="D12" s="323"/>
      <c r="E12" s="323"/>
      <c r="F12" s="323"/>
      <c r="G12" s="14"/>
      <c r="H12" s="14"/>
    </row>
    <row r="13" spans="1:11" x14ac:dyDescent="0.3">
      <c r="C13" s="323" t="s">
        <v>1409</v>
      </c>
      <c r="D13" s="323"/>
      <c r="E13" s="323"/>
      <c r="F13" s="323"/>
      <c r="G13" s="14"/>
      <c r="H13" s="14"/>
    </row>
    <row r="14" spans="1:11" x14ac:dyDescent="0.3">
      <c r="C14" s="323" t="s">
        <v>1410</v>
      </c>
      <c r="D14" s="323"/>
      <c r="E14" s="323"/>
      <c r="F14" s="323"/>
      <c r="G14" s="14"/>
      <c r="H14" s="14"/>
    </row>
    <row r="15" spans="1:11" x14ac:dyDescent="0.3">
      <c r="C15" s="323" t="s">
        <v>1411</v>
      </c>
      <c r="D15" s="323"/>
      <c r="E15" s="323"/>
      <c r="F15" s="323"/>
      <c r="G15" s="321"/>
      <c r="H15" s="14"/>
    </row>
    <row r="16" spans="1:11" x14ac:dyDescent="0.3">
      <c r="C16" s="323" t="s">
        <v>1412</v>
      </c>
      <c r="D16" s="323"/>
      <c r="E16" s="323"/>
      <c r="F16" s="323"/>
      <c r="G16" s="14"/>
      <c r="H16" s="14"/>
      <c r="K16" s="211"/>
    </row>
    <row r="17" spans="3:11" ht="28.8" x14ac:dyDescent="0.3">
      <c r="C17" s="323" t="s">
        <v>1413</v>
      </c>
      <c r="D17" s="323"/>
      <c r="E17" s="323"/>
      <c r="F17" s="323"/>
      <c r="G17" s="14"/>
      <c r="H17" s="322"/>
      <c r="K17" s="305"/>
    </row>
    <row r="18" spans="3:11" x14ac:dyDescent="0.3">
      <c r="C18" s="323" t="s">
        <v>1414</v>
      </c>
      <c r="D18" s="323"/>
      <c r="E18" s="323"/>
      <c r="F18" s="323"/>
      <c r="G18" s="14"/>
      <c r="H18" s="14"/>
      <c r="K18" s="306"/>
    </row>
    <row r="19" spans="3:11" x14ac:dyDescent="0.3">
      <c r="C19" s="323" t="s">
        <v>1415</v>
      </c>
      <c r="D19" s="323"/>
      <c r="E19" s="323"/>
      <c r="F19" s="323"/>
      <c r="G19" s="14"/>
      <c r="H19" s="14"/>
      <c r="K19" s="306"/>
    </row>
    <row r="20" spans="3:11" x14ac:dyDescent="0.3">
      <c r="C20" s="323" t="s">
        <v>1416</v>
      </c>
      <c r="D20" s="323"/>
      <c r="E20" s="323"/>
      <c r="F20" s="323"/>
      <c r="G20" s="37"/>
      <c r="H20" s="14"/>
    </row>
    <row r="21" spans="3:11" x14ac:dyDescent="0.3">
      <c r="C21" s="323" t="s">
        <v>1417</v>
      </c>
      <c r="D21" s="323"/>
      <c r="E21" s="323"/>
      <c r="F21" s="323"/>
      <c r="G21" s="37"/>
      <c r="H21" s="14"/>
      <c r="K21" s="211"/>
    </row>
    <row r="22" spans="3:11" x14ac:dyDescent="0.3">
      <c r="C22" s="323" t="s">
        <v>1418</v>
      </c>
      <c r="D22" s="323"/>
      <c r="E22" s="323"/>
      <c r="F22" s="323"/>
      <c r="G22" s="37"/>
      <c r="H22" s="14"/>
      <c r="K22" s="305"/>
    </row>
    <row r="23" spans="3:11" ht="28.8" x14ac:dyDescent="0.3">
      <c r="C23" s="323" t="s">
        <v>1419</v>
      </c>
      <c r="D23" s="323"/>
      <c r="E23" s="323"/>
      <c r="F23" s="323"/>
      <c r="G23" s="14"/>
      <c r="H23" s="14"/>
      <c r="K23" s="305"/>
    </row>
    <row r="24" spans="3:11" x14ac:dyDescent="0.3">
      <c r="C24" s="323" t="s">
        <v>1420</v>
      </c>
      <c r="D24" s="323"/>
      <c r="E24" s="323"/>
      <c r="F24" s="323"/>
      <c r="G24" s="14"/>
      <c r="H24" s="14"/>
      <c r="K24" s="305"/>
    </row>
    <row r="25" spans="3:11" x14ac:dyDescent="0.3">
      <c r="C25" s="323" t="s">
        <v>1421</v>
      </c>
      <c r="D25" s="323"/>
      <c r="E25" s="323"/>
      <c r="F25" s="323"/>
      <c r="G25" s="14"/>
      <c r="H25" s="14"/>
    </row>
    <row r="26" spans="3:11" ht="18" x14ac:dyDescent="0.3">
      <c r="C26" s="326" t="s">
        <v>1422</v>
      </c>
      <c r="D26" s="326" t="s">
        <v>1423</v>
      </c>
      <c r="E26" s="326" t="s">
        <v>1423</v>
      </c>
      <c r="F26" s="326" t="s">
        <v>1423</v>
      </c>
      <c r="G26" s="14"/>
      <c r="H26" s="14"/>
      <c r="K26" s="304"/>
    </row>
    <row r="27" spans="3:11" x14ac:dyDescent="0.3">
      <c r="C27" s="323" t="s">
        <v>1424</v>
      </c>
      <c r="D27" s="323"/>
      <c r="E27" s="323"/>
      <c r="F27" s="323"/>
      <c r="G27" s="14"/>
      <c r="H27" s="14"/>
    </row>
    <row r="28" spans="3:11" x14ac:dyDescent="0.3">
      <c r="C28" s="326" t="s">
        <v>1425</v>
      </c>
      <c r="D28" s="326" t="s">
        <v>1423</v>
      </c>
      <c r="E28" s="326" t="s">
        <v>1423</v>
      </c>
      <c r="F28" s="326" t="s">
        <v>1423</v>
      </c>
    </row>
    <row r="29" spans="3:11" x14ac:dyDescent="0.3">
      <c r="C29" s="323"/>
      <c r="D29" s="323"/>
      <c r="E29" s="323"/>
      <c r="F29" s="323"/>
    </row>
    <row r="30" spans="3:11" x14ac:dyDescent="0.3">
      <c r="C30" s="324" t="s">
        <v>1426</v>
      </c>
      <c r="D30" s="323"/>
      <c r="E30" s="323"/>
      <c r="F30" s="323"/>
      <c r="K30" s="211"/>
    </row>
    <row r="31" spans="3:11" x14ac:dyDescent="0.3">
      <c r="C31" s="323" t="s">
        <v>1427</v>
      </c>
      <c r="D31" s="323"/>
      <c r="E31" s="323"/>
      <c r="F31" s="323"/>
      <c r="K31" s="211"/>
    </row>
    <row r="32" spans="3:11" x14ac:dyDescent="0.3">
      <c r="C32" s="323" t="s">
        <v>1428</v>
      </c>
      <c r="D32" s="323"/>
      <c r="E32" s="323"/>
      <c r="F32" s="323"/>
    </row>
    <row r="33" spans="3:6" x14ac:dyDescent="0.3">
      <c r="C33" s="323" t="s">
        <v>1429</v>
      </c>
      <c r="D33" s="323"/>
      <c r="E33" s="323"/>
      <c r="F33" s="323"/>
    </row>
    <row r="34" spans="3:6" x14ac:dyDescent="0.3">
      <c r="C34" s="323" t="s">
        <v>1430</v>
      </c>
      <c r="D34" s="323"/>
      <c r="E34" s="323"/>
      <c r="F34" s="323"/>
    </row>
    <row r="35" spans="3:6" x14ac:dyDescent="0.3">
      <c r="C35" s="323" t="s">
        <v>1431</v>
      </c>
      <c r="D35" s="323"/>
      <c r="E35" s="323"/>
      <c r="F35" s="323"/>
    </row>
    <row r="36" spans="3:6" x14ac:dyDescent="0.3">
      <c r="C36" s="323" t="s">
        <v>1432</v>
      </c>
      <c r="D36" s="323"/>
      <c r="E36" s="323"/>
      <c r="F36" s="323"/>
    </row>
    <row r="37" spans="3:6" x14ac:dyDescent="0.3">
      <c r="C37" s="323" t="s">
        <v>1433</v>
      </c>
      <c r="D37" s="323"/>
      <c r="E37" s="323"/>
      <c r="F37" s="323"/>
    </row>
    <row r="38" spans="3:6" x14ac:dyDescent="0.3">
      <c r="C38" s="323" t="s">
        <v>1434</v>
      </c>
      <c r="D38" s="323"/>
      <c r="E38" s="323"/>
      <c r="F38" s="323"/>
    </row>
    <row r="39" spans="3:6" x14ac:dyDescent="0.3">
      <c r="C39" s="323" t="s">
        <v>1435</v>
      </c>
      <c r="D39" s="323"/>
      <c r="E39" s="323"/>
      <c r="F39" s="323"/>
    </row>
    <row r="40" spans="3:6" x14ac:dyDescent="0.3">
      <c r="C40" s="323" t="s">
        <v>1436</v>
      </c>
      <c r="D40" s="323"/>
      <c r="E40" s="323"/>
      <c r="F40" s="323"/>
    </row>
    <row r="41" spans="3:6" x14ac:dyDescent="0.3">
      <c r="C41" s="323" t="s">
        <v>1437</v>
      </c>
      <c r="D41" s="323"/>
      <c r="E41" s="323"/>
      <c r="F41" s="323"/>
    </row>
    <row r="42" spans="3:6" x14ac:dyDescent="0.3">
      <c r="C42" s="323" t="s">
        <v>1438</v>
      </c>
      <c r="D42" s="323"/>
      <c r="E42" s="323"/>
      <c r="F42" s="323"/>
    </row>
    <row r="43" spans="3:6" x14ac:dyDescent="0.3">
      <c r="C43" s="323" t="s">
        <v>1439</v>
      </c>
      <c r="D43" s="323"/>
      <c r="E43" s="323"/>
      <c r="F43" s="323"/>
    </row>
    <row r="44" spans="3:6" x14ac:dyDescent="0.3">
      <c r="C44" s="323" t="s">
        <v>1440</v>
      </c>
      <c r="D44" s="323"/>
      <c r="E44" s="323"/>
      <c r="F44" s="323"/>
    </row>
    <row r="45" spans="3:6" x14ac:dyDescent="0.3">
      <c r="C45" s="326" t="s">
        <v>1441</v>
      </c>
      <c r="D45" s="326" t="s">
        <v>1423</v>
      </c>
      <c r="E45" s="326" t="s">
        <v>1423</v>
      </c>
      <c r="F45" s="326" t="s">
        <v>1423</v>
      </c>
    </row>
    <row r="46" spans="3:6" x14ac:dyDescent="0.3">
      <c r="C46" s="323"/>
      <c r="D46" s="323"/>
      <c r="E46" s="323"/>
      <c r="F46" s="323"/>
    </row>
    <row r="47" spans="3:6" x14ac:dyDescent="0.3">
      <c r="C47" s="326" t="s">
        <v>1442</v>
      </c>
      <c r="D47" s="326" t="s">
        <v>1423</v>
      </c>
      <c r="E47" s="326" t="s">
        <v>1423</v>
      </c>
      <c r="F47" s="326" t="s">
        <v>1423</v>
      </c>
    </row>
    <row r="48" spans="3:6" x14ac:dyDescent="0.3">
      <c r="C48" s="326" t="s">
        <v>1443</v>
      </c>
      <c r="D48" s="326" t="s">
        <v>1423</v>
      </c>
      <c r="E48" s="326" t="s">
        <v>1423</v>
      </c>
      <c r="F48" s="326" t="s">
        <v>1423</v>
      </c>
    </row>
    <row r="49" spans="3:6" x14ac:dyDescent="0.3">
      <c r="C49" s="323"/>
      <c r="D49" s="323"/>
      <c r="E49" s="323"/>
      <c r="F49" s="323"/>
    </row>
    <row r="50" spans="3:6" x14ac:dyDescent="0.3">
      <c r="C50" s="324" t="s">
        <v>1444</v>
      </c>
      <c r="D50" s="323"/>
      <c r="E50" s="323"/>
      <c r="F50" s="323"/>
    </row>
    <row r="51" spans="3:6" x14ac:dyDescent="0.3">
      <c r="C51" s="323" t="s">
        <v>1445</v>
      </c>
      <c r="D51" s="323"/>
      <c r="E51" s="323"/>
      <c r="F51" s="323"/>
    </row>
    <row r="52" spans="3:6" x14ac:dyDescent="0.3">
      <c r="C52" s="323" t="s">
        <v>1446</v>
      </c>
      <c r="D52" s="323"/>
      <c r="E52" s="323"/>
      <c r="F52" s="323"/>
    </row>
    <row r="53" spans="3:6" x14ac:dyDescent="0.3">
      <c r="C53" s="323" t="s">
        <v>1025</v>
      </c>
      <c r="D53" s="323"/>
      <c r="E53" s="323"/>
      <c r="F53" s="323"/>
    </row>
    <row r="54" spans="3:6" x14ac:dyDescent="0.3">
      <c r="C54" s="323" t="s">
        <v>1447</v>
      </c>
      <c r="D54" s="323"/>
      <c r="E54" s="323"/>
      <c r="F54" s="323"/>
    </row>
    <row r="55" spans="3:6" x14ac:dyDescent="0.3">
      <c r="C55" s="323" t="s">
        <v>1448</v>
      </c>
      <c r="D55" s="323"/>
      <c r="E55" s="323"/>
      <c r="F55" s="323"/>
    </row>
    <row r="56" spans="3:6" x14ac:dyDescent="0.3">
      <c r="C56" s="323" t="s">
        <v>1449</v>
      </c>
      <c r="D56" s="323"/>
      <c r="E56" s="323"/>
      <c r="F56" s="323"/>
    </row>
    <row r="57" spans="3:6" x14ac:dyDescent="0.3">
      <c r="C57" s="323" t="s">
        <v>1450</v>
      </c>
      <c r="D57" s="323"/>
      <c r="E57" s="323"/>
      <c r="F57" s="323"/>
    </row>
    <row r="58" spans="3:6" x14ac:dyDescent="0.3">
      <c r="C58" s="323" t="s">
        <v>1451</v>
      </c>
      <c r="D58" s="323"/>
      <c r="E58" s="323"/>
      <c r="F58" s="323"/>
    </row>
    <row r="59" spans="3:6" x14ac:dyDescent="0.3">
      <c r="C59" s="323" t="s">
        <v>1452</v>
      </c>
      <c r="D59" s="323"/>
      <c r="E59" s="323"/>
      <c r="F59" s="323"/>
    </row>
    <row r="60" spans="3:6" x14ac:dyDescent="0.3">
      <c r="C60" s="323" t="s">
        <v>1453</v>
      </c>
      <c r="D60" s="323"/>
      <c r="E60" s="323"/>
      <c r="F60" s="323"/>
    </row>
    <row r="61" spans="3:6" ht="28.8" x14ac:dyDescent="0.3">
      <c r="C61" s="323" t="s">
        <v>1454</v>
      </c>
      <c r="D61" s="323"/>
      <c r="E61" s="323"/>
      <c r="F61" s="323"/>
    </row>
    <row r="62" spans="3:6" x14ac:dyDescent="0.3">
      <c r="C62" s="323" t="s">
        <v>1455</v>
      </c>
      <c r="D62" s="323"/>
      <c r="E62" s="323"/>
      <c r="F62" s="323"/>
    </row>
    <row r="63" spans="3:6" x14ac:dyDescent="0.3">
      <c r="C63" s="323" t="s">
        <v>1456</v>
      </c>
      <c r="D63" s="323"/>
      <c r="E63" s="323"/>
      <c r="F63" s="323"/>
    </row>
    <row r="64" spans="3:6" x14ac:dyDescent="0.3">
      <c r="C64" s="323" t="s">
        <v>324</v>
      </c>
      <c r="D64" s="323"/>
      <c r="E64" s="323"/>
      <c r="F64" s="323"/>
    </row>
    <row r="65" spans="3:6" x14ac:dyDescent="0.3">
      <c r="C65" s="323" t="s">
        <v>1457</v>
      </c>
      <c r="D65" s="323"/>
      <c r="E65" s="323"/>
      <c r="F65" s="323"/>
    </row>
    <row r="66" spans="3:6" x14ac:dyDescent="0.3">
      <c r="C66" s="323" t="s">
        <v>1458</v>
      </c>
      <c r="D66" s="323"/>
      <c r="E66" s="323"/>
      <c r="F66" s="323"/>
    </row>
    <row r="67" spans="3:6" x14ac:dyDescent="0.3">
      <c r="C67" s="323" t="s">
        <v>1459</v>
      </c>
      <c r="D67" s="323"/>
      <c r="E67" s="323"/>
      <c r="F67" s="323"/>
    </row>
    <row r="68" spans="3:6" ht="28.8" x14ac:dyDescent="0.3">
      <c r="C68" s="323" t="s">
        <v>1460</v>
      </c>
      <c r="D68" s="323"/>
      <c r="E68" s="323"/>
      <c r="F68" s="323"/>
    </row>
    <row r="69" spans="3:6" x14ac:dyDescent="0.3">
      <c r="C69" s="323" t="s">
        <v>1461</v>
      </c>
      <c r="D69" s="323"/>
      <c r="E69" s="323"/>
      <c r="F69" s="323"/>
    </row>
    <row r="70" spans="3:6" x14ac:dyDescent="0.3">
      <c r="C70" s="323" t="s">
        <v>1462</v>
      </c>
      <c r="D70" s="323"/>
      <c r="E70" s="323"/>
      <c r="F70" s="323"/>
    </row>
    <row r="71" spans="3:6" x14ac:dyDescent="0.3">
      <c r="C71" s="327" t="s">
        <v>1463</v>
      </c>
      <c r="D71" s="327" t="s">
        <v>1423</v>
      </c>
      <c r="E71" s="327" t="s">
        <v>1423</v>
      </c>
      <c r="F71" s="327" t="s">
        <v>1423</v>
      </c>
    </row>
    <row r="72" spans="3:6" x14ac:dyDescent="0.3">
      <c r="C72" s="323"/>
      <c r="D72" s="323"/>
      <c r="E72" s="323"/>
      <c r="F72" s="323"/>
    </row>
    <row r="73" spans="3:6" x14ac:dyDescent="0.3">
      <c r="C73" s="328" t="s">
        <v>1464</v>
      </c>
      <c r="D73" s="328" t="s">
        <v>1423</v>
      </c>
      <c r="E73" s="328" t="s">
        <v>1423</v>
      </c>
      <c r="F73" s="328" t="s">
        <v>1423</v>
      </c>
    </row>
    <row r="74" spans="3:6" x14ac:dyDescent="0.3">
      <c r="C74" s="323"/>
      <c r="D74" s="323"/>
      <c r="E74" s="323"/>
      <c r="F74" s="323"/>
    </row>
    <row r="75" spans="3:6" x14ac:dyDescent="0.3">
      <c r="C75" s="324" t="s">
        <v>1465</v>
      </c>
      <c r="D75" s="323"/>
      <c r="E75" s="323"/>
      <c r="F75" s="323"/>
    </row>
    <row r="76" spans="3:6" x14ac:dyDescent="0.3">
      <c r="C76" s="323" t="s">
        <v>1466</v>
      </c>
      <c r="D76" s="323"/>
      <c r="E76" s="323"/>
      <c r="F76" s="323"/>
    </row>
    <row r="77" spans="3:6" x14ac:dyDescent="0.3">
      <c r="C77" s="323" t="s">
        <v>1467</v>
      </c>
      <c r="D77" s="323"/>
      <c r="E77" s="323"/>
      <c r="F77" s="323"/>
    </row>
    <row r="78" spans="3:6" x14ac:dyDescent="0.3">
      <c r="C78" s="323" t="s">
        <v>1050</v>
      </c>
      <c r="D78" s="323"/>
      <c r="E78" s="323"/>
      <c r="F78" s="323"/>
    </row>
    <row r="79" spans="3:6" ht="28.8" x14ac:dyDescent="0.3">
      <c r="C79" s="328" t="s">
        <v>1468</v>
      </c>
      <c r="D79" s="328" t="s">
        <v>1423</v>
      </c>
      <c r="E79" s="328" t="s">
        <v>1423</v>
      </c>
      <c r="F79" s="328" t="s">
        <v>1423</v>
      </c>
    </row>
    <row r="80" spans="3:6" x14ac:dyDescent="0.3">
      <c r="C80" s="323"/>
      <c r="D80" s="323"/>
      <c r="E80" s="323"/>
      <c r="F80" s="323"/>
    </row>
    <row r="81" spans="3:6" x14ac:dyDescent="0.3">
      <c r="C81" s="324" t="s">
        <v>1469</v>
      </c>
      <c r="D81" s="323"/>
      <c r="E81" s="323"/>
      <c r="F81" s="323"/>
    </row>
    <row r="82" spans="3:6" x14ac:dyDescent="0.3">
      <c r="C82" s="323" t="s">
        <v>1470</v>
      </c>
      <c r="D82" s="323"/>
      <c r="E82" s="323"/>
      <c r="F82" s="323"/>
    </row>
    <row r="83" spans="3:6" x14ac:dyDescent="0.3">
      <c r="C83" s="323" t="s">
        <v>1471</v>
      </c>
      <c r="D83" s="323"/>
      <c r="E83" s="323"/>
      <c r="F83" s="323"/>
    </row>
    <row r="84" spans="3:6" x14ac:dyDescent="0.3">
      <c r="C84" s="323" t="s">
        <v>1472</v>
      </c>
      <c r="D84" s="323"/>
      <c r="E84" s="323"/>
      <c r="F84" s="323"/>
    </row>
    <row r="85" spans="3:6" x14ac:dyDescent="0.3">
      <c r="C85" s="323" t="s">
        <v>1473</v>
      </c>
      <c r="D85" s="323"/>
      <c r="E85" s="323"/>
      <c r="F85" s="323"/>
    </row>
    <row r="86" spans="3:6" ht="28.8" x14ac:dyDescent="0.3">
      <c r="C86" s="327" t="s">
        <v>1474</v>
      </c>
      <c r="D86" s="327" t="s">
        <v>1423</v>
      </c>
      <c r="E86" s="327" t="s">
        <v>1423</v>
      </c>
      <c r="F86" s="327" t="s">
        <v>1423</v>
      </c>
    </row>
    <row r="87" spans="3:6" x14ac:dyDescent="0.3">
      <c r="C87" s="323"/>
      <c r="D87" s="323"/>
      <c r="E87" s="323"/>
      <c r="F87" s="323"/>
    </row>
    <row r="88" spans="3:6" x14ac:dyDescent="0.3">
      <c r="C88" s="326" t="s">
        <v>1475</v>
      </c>
      <c r="D88" s="326" t="s">
        <v>1423</v>
      </c>
      <c r="E88" s="326" t="s">
        <v>1423</v>
      </c>
      <c r="F88" s="326" t="s">
        <v>1423</v>
      </c>
    </row>
    <row r="89" spans="3:6" x14ac:dyDescent="0.3">
      <c r="C89" s="323" t="s">
        <v>1476</v>
      </c>
      <c r="D89" s="323"/>
      <c r="E89" s="323"/>
      <c r="F89" s="323"/>
    </row>
    <row r="90" spans="3:6" x14ac:dyDescent="0.3">
      <c r="C90" s="326" t="s">
        <v>1477</v>
      </c>
      <c r="D90" s="326" t="s">
        <v>1423</v>
      </c>
      <c r="E90" s="326" t="s">
        <v>1423</v>
      </c>
      <c r="F90" s="326" t="s">
        <v>1423</v>
      </c>
    </row>
    <row r="91" spans="3:6" x14ac:dyDescent="0.3">
      <c r="C91" s="328" t="s">
        <v>1478</v>
      </c>
      <c r="D91" s="328" t="s">
        <v>1423</v>
      </c>
      <c r="E91" s="328" t="s">
        <v>1423</v>
      </c>
      <c r="F91" s="328" t="s">
        <v>1423</v>
      </c>
    </row>
  </sheetData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79905" r:id="rId3" name="Drop Down 1">
              <controlPr defaultSize="0" autoLine="0" autoPict="0">
                <anchor moveWithCells="1">
                  <from>
                    <xdr:col>11</xdr:col>
                    <xdr:colOff>525780</xdr:colOff>
                    <xdr:row>1</xdr:row>
                    <xdr:rowOff>137160</xdr:rowOff>
                  </from>
                  <to>
                    <xdr:col>13</xdr:col>
                    <xdr:colOff>220980</xdr:colOff>
                    <xdr:row>2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0"/>
  <sheetViews>
    <sheetView showGridLines="0" workbookViewId="0"/>
  </sheetViews>
  <sheetFormatPr defaultRowHeight="14.4" x14ac:dyDescent="0.3"/>
  <cols>
    <col min="2" max="2" width="13.21875" customWidth="1"/>
    <col min="3" max="3" width="11.44140625" customWidth="1"/>
    <col min="4" max="4" width="13.77734375" customWidth="1"/>
    <col min="5" max="5" width="10.6640625" customWidth="1"/>
    <col min="6" max="6" width="7.77734375" customWidth="1"/>
    <col min="7" max="7" width="10.5546875" customWidth="1"/>
    <col min="8" max="8" width="10.109375" customWidth="1"/>
    <col min="9" max="9" width="12.77734375" customWidth="1"/>
    <col min="10" max="10" width="6.33203125" customWidth="1"/>
    <col min="11" max="11" width="11.77734375" bestFit="1" customWidth="1"/>
    <col min="12" max="12" width="12.88671875" customWidth="1"/>
  </cols>
  <sheetData>
    <row r="1" spans="1:12" x14ac:dyDescent="0.3">
      <c r="A1" s="2" t="s">
        <v>119</v>
      </c>
    </row>
    <row r="2" spans="1:12" x14ac:dyDescent="0.3">
      <c r="H2" s="21"/>
      <c r="I2" s="21"/>
      <c r="J2" s="21"/>
      <c r="K2" s="21"/>
    </row>
    <row r="3" spans="1:12" x14ac:dyDescent="0.3">
      <c r="B3" s="40"/>
      <c r="C3" s="41"/>
      <c r="D3" s="41"/>
      <c r="E3" s="41"/>
      <c r="F3" s="41"/>
      <c r="G3" s="41"/>
      <c r="H3" s="41"/>
      <c r="I3" s="41" t="s">
        <v>1509</v>
      </c>
      <c r="J3" s="41"/>
      <c r="K3" s="41"/>
      <c r="L3" s="42"/>
    </row>
    <row r="6" spans="1:12" ht="28.8" x14ac:dyDescent="0.3">
      <c r="B6" s="325" t="s">
        <v>1528</v>
      </c>
      <c r="C6" s="325" t="s">
        <v>580</v>
      </c>
      <c r="D6" s="325" t="s">
        <v>1529</v>
      </c>
      <c r="E6" s="325" t="s">
        <v>92</v>
      </c>
      <c r="F6" s="325" t="s">
        <v>440</v>
      </c>
      <c r="G6" s="325" t="s">
        <v>1530</v>
      </c>
      <c r="H6" s="325" t="s">
        <v>1510</v>
      </c>
      <c r="I6" s="325" t="s">
        <v>1511</v>
      </c>
      <c r="J6" s="325" t="s">
        <v>1512</v>
      </c>
      <c r="K6" s="325" t="s">
        <v>1513</v>
      </c>
      <c r="L6" s="325" t="s">
        <v>111</v>
      </c>
    </row>
    <row r="7" spans="1:12" ht="57.6" x14ac:dyDescent="0.3">
      <c r="B7" s="331" t="s">
        <v>1514</v>
      </c>
      <c r="C7" s="331"/>
      <c r="D7" s="331"/>
      <c r="E7" s="331" t="s">
        <v>1515</v>
      </c>
      <c r="F7" s="331" t="s">
        <v>1516</v>
      </c>
      <c r="G7" s="331" t="s">
        <v>1517</v>
      </c>
      <c r="H7" s="332">
        <v>10200</v>
      </c>
      <c r="I7" s="332">
        <v>8925</v>
      </c>
      <c r="J7" s="332">
        <v>1275</v>
      </c>
      <c r="K7" s="333">
        <v>0.125</v>
      </c>
      <c r="L7" s="331" t="s">
        <v>1518</v>
      </c>
    </row>
    <row r="8" spans="1:12" ht="57.6" x14ac:dyDescent="0.3">
      <c r="B8" s="331" t="s">
        <v>1519</v>
      </c>
      <c r="C8" s="331"/>
      <c r="D8" s="331"/>
      <c r="E8" s="331" t="s">
        <v>1520</v>
      </c>
      <c r="F8" s="331" t="s">
        <v>97</v>
      </c>
      <c r="G8" s="331" t="s">
        <v>1521</v>
      </c>
      <c r="H8" s="332">
        <v>5800</v>
      </c>
      <c r="I8" s="332">
        <v>4100</v>
      </c>
      <c r="J8" s="332">
        <v>1700</v>
      </c>
      <c r="K8" s="333">
        <v>0.29299999999999998</v>
      </c>
      <c r="L8" s="331" t="s">
        <v>1518</v>
      </c>
    </row>
    <row r="9" spans="1:12" ht="57.6" x14ac:dyDescent="0.3">
      <c r="B9" s="331" t="s">
        <v>1522</v>
      </c>
      <c r="C9" s="331"/>
      <c r="D9" s="331"/>
      <c r="E9" s="331" t="s">
        <v>1523</v>
      </c>
      <c r="F9" s="331" t="s">
        <v>98</v>
      </c>
      <c r="G9" s="331" t="s">
        <v>1524</v>
      </c>
      <c r="H9" s="332">
        <v>8500</v>
      </c>
      <c r="I9" s="332">
        <v>7950</v>
      </c>
      <c r="J9" s="331">
        <v>550</v>
      </c>
      <c r="K9" s="333">
        <v>6.5000000000000002E-2</v>
      </c>
      <c r="L9" s="331" t="s">
        <v>1518</v>
      </c>
    </row>
    <row r="10" spans="1:12" x14ac:dyDescent="0.3">
      <c r="B10" s="331" t="s">
        <v>1525</v>
      </c>
      <c r="C10" s="331"/>
      <c r="D10" s="331"/>
      <c r="E10" s="331" t="s">
        <v>1526</v>
      </c>
      <c r="F10" s="331" t="s">
        <v>1516</v>
      </c>
      <c r="G10" s="331" t="s">
        <v>1527</v>
      </c>
      <c r="H10" s="332">
        <v>7200</v>
      </c>
      <c r="I10" s="332">
        <v>7650</v>
      </c>
      <c r="J10" s="334">
        <v>-450</v>
      </c>
      <c r="K10" s="335">
        <v>-6.3E-2</v>
      </c>
      <c r="L10" s="331" t="s">
        <v>1518</v>
      </c>
    </row>
  </sheetData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60801" r:id="rId3" name="Drop Down 1">
              <controlPr defaultSize="0" autoLine="0" autoPict="0">
                <anchor moveWithCells="1">
                  <from>
                    <xdr:col>13</xdr:col>
                    <xdr:colOff>525780</xdr:colOff>
                    <xdr:row>1</xdr:row>
                    <xdr:rowOff>137160</xdr:rowOff>
                  </from>
                  <to>
                    <xdr:col>15</xdr:col>
                    <xdr:colOff>220980</xdr:colOff>
                    <xdr:row>2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9"/>
  <sheetViews>
    <sheetView showGridLines="0" workbookViewId="0"/>
  </sheetViews>
  <sheetFormatPr defaultRowHeight="14.4" x14ac:dyDescent="0.3"/>
  <cols>
    <col min="2" max="3" width="18.77734375" customWidth="1"/>
    <col min="4" max="4" width="17.77734375" customWidth="1"/>
    <col min="5" max="5" width="17.33203125" customWidth="1"/>
    <col min="6" max="6" width="9.33203125" customWidth="1"/>
    <col min="7" max="7" width="12.33203125" bestFit="1" customWidth="1"/>
    <col min="10" max="10" width="14.77734375" bestFit="1" customWidth="1"/>
  </cols>
  <sheetData>
    <row r="1" spans="1:10" x14ac:dyDescent="0.3">
      <c r="A1" s="2" t="s">
        <v>33</v>
      </c>
    </row>
    <row r="4" spans="1:10" x14ac:dyDescent="0.3">
      <c r="G4" t="s">
        <v>332</v>
      </c>
    </row>
    <row r="5" spans="1:10" x14ac:dyDescent="0.3">
      <c r="B5" s="52" t="s">
        <v>127</v>
      </c>
      <c r="C5" s="52" t="s">
        <v>130</v>
      </c>
      <c r="D5" s="52" t="s">
        <v>128</v>
      </c>
      <c r="E5" s="52" t="s">
        <v>129</v>
      </c>
    </row>
    <row r="6" spans="1:10" x14ac:dyDescent="0.3">
      <c r="B6" s="3"/>
      <c r="C6" s="3"/>
      <c r="D6" s="3"/>
      <c r="E6" s="3"/>
      <c r="G6" s="67" t="s">
        <v>44</v>
      </c>
    </row>
    <row r="9" spans="1:10" x14ac:dyDescent="0.3">
      <c r="D9" s="32"/>
      <c r="E9" s="3"/>
      <c r="F9" s="68" t="s">
        <v>55</v>
      </c>
    </row>
    <row r="10" spans="1:10" x14ac:dyDescent="0.3">
      <c r="B10" s="69" t="s">
        <v>131</v>
      </c>
      <c r="C10" s="69" t="s">
        <v>127</v>
      </c>
      <c r="D10" s="69" t="s">
        <v>132</v>
      </c>
      <c r="E10" s="69" t="s">
        <v>128</v>
      </c>
      <c r="F10" s="69" t="s">
        <v>129</v>
      </c>
      <c r="G10" s="69" t="s">
        <v>118</v>
      </c>
      <c r="J10" s="73" t="s">
        <v>158</v>
      </c>
    </row>
    <row r="11" spans="1:10" x14ac:dyDescent="0.3">
      <c r="B11" s="3" t="s">
        <v>333</v>
      </c>
      <c r="C11" s="3"/>
      <c r="D11" s="3"/>
      <c r="E11" s="3"/>
      <c r="F11" s="3"/>
      <c r="G11" s="3" t="s">
        <v>334</v>
      </c>
      <c r="J11" s="71" t="s">
        <v>143</v>
      </c>
    </row>
    <row r="12" spans="1:10" x14ac:dyDescent="0.3">
      <c r="B12" s="3"/>
      <c r="C12" s="3"/>
      <c r="D12" s="3"/>
      <c r="E12" s="3"/>
      <c r="F12" s="3"/>
      <c r="G12" s="3"/>
      <c r="J12" s="71" t="s">
        <v>134</v>
      </c>
    </row>
    <row r="13" spans="1:10" x14ac:dyDescent="0.3">
      <c r="B13" s="3"/>
      <c r="C13" s="3"/>
      <c r="D13" s="3"/>
      <c r="E13" s="3"/>
      <c r="F13" s="3"/>
      <c r="G13" s="3"/>
      <c r="J13" s="71" t="s">
        <v>135</v>
      </c>
    </row>
    <row r="14" spans="1:10" x14ac:dyDescent="0.3">
      <c r="B14" s="3"/>
      <c r="C14" s="3"/>
      <c r="D14" s="3"/>
      <c r="E14" s="3"/>
      <c r="F14" s="3"/>
      <c r="G14" s="3"/>
      <c r="J14" s="71" t="s">
        <v>136</v>
      </c>
    </row>
    <row r="15" spans="1:10" x14ac:dyDescent="0.3">
      <c r="B15" s="3"/>
      <c r="C15" s="3"/>
      <c r="D15" s="3"/>
      <c r="E15" s="3"/>
      <c r="F15" s="3"/>
      <c r="G15" s="3"/>
      <c r="J15" s="72" t="s">
        <v>137</v>
      </c>
    </row>
    <row r="16" spans="1:10" x14ac:dyDescent="0.3">
      <c r="B16" s="3"/>
      <c r="C16" s="3"/>
      <c r="D16" s="3"/>
      <c r="E16" s="3"/>
      <c r="F16" s="3"/>
      <c r="G16" s="3"/>
    </row>
    <row r="17" spans="2:7" x14ac:dyDescent="0.3">
      <c r="B17" s="3"/>
      <c r="C17" s="3"/>
      <c r="D17" s="3"/>
      <c r="E17" s="3"/>
      <c r="F17" s="3"/>
      <c r="G17" s="3"/>
    </row>
    <row r="18" spans="2:7" x14ac:dyDescent="0.3">
      <c r="B18" s="3"/>
      <c r="C18" s="3"/>
      <c r="D18" s="3"/>
      <c r="E18" s="3"/>
      <c r="F18" s="3"/>
      <c r="G18" s="3"/>
    </row>
    <row r="19" spans="2:7" x14ac:dyDescent="0.3">
      <c r="B19" s="3"/>
      <c r="C19" s="3"/>
      <c r="D19" s="3"/>
      <c r="E19" s="3"/>
      <c r="F19" s="3"/>
      <c r="G19" s="3"/>
    </row>
    <row r="20" spans="2:7" x14ac:dyDescent="0.3">
      <c r="B20" s="3"/>
      <c r="C20" s="3"/>
      <c r="D20" s="3"/>
      <c r="E20" s="3"/>
      <c r="F20" s="3"/>
      <c r="G20" s="3"/>
    </row>
    <row r="21" spans="2:7" x14ac:dyDescent="0.3">
      <c r="B21" s="3"/>
      <c r="C21" s="3"/>
      <c r="D21" s="3"/>
      <c r="E21" s="3"/>
      <c r="F21" s="3"/>
      <c r="G21" s="3"/>
    </row>
    <row r="22" spans="2:7" x14ac:dyDescent="0.3">
      <c r="B22" s="3"/>
      <c r="C22" s="3"/>
      <c r="D22" s="3"/>
      <c r="E22" s="3"/>
      <c r="F22" s="3"/>
      <c r="G22" s="3"/>
    </row>
    <row r="23" spans="2:7" x14ac:dyDescent="0.3">
      <c r="B23" s="3"/>
      <c r="C23" s="3"/>
      <c r="D23" s="3"/>
      <c r="E23" s="3"/>
      <c r="F23" s="3"/>
      <c r="G23" s="3"/>
    </row>
    <row r="24" spans="2:7" x14ac:dyDescent="0.3">
      <c r="B24" s="3"/>
      <c r="C24" s="3"/>
      <c r="D24" s="3"/>
      <c r="E24" s="3"/>
      <c r="F24" s="3"/>
      <c r="G24" s="3"/>
    </row>
    <row r="25" spans="2:7" x14ac:dyDescent="0.3">
      <c r="B25" s="3"/>
      <c r="C25" s="3"/>
      <c r="D25" s="3"/>
      <c r="E25" s="3"/>
      <c r="F25" s="3"/>
      <c r="G25" s="3"/>
    </row>
    <row r="26" spans="2:7" x14ac:dyDescent="0.3">
      <c r="B26" s="3"/>
      <c r="C26" s="3"/>
      <c r="D26" s="3"/>
      <c r="E26" s="3"/>
      <c r="F26" s="3"/>
      <c r="G26" s="3"/>
    </row>
    <row r="27" spans="2:7" x14ac:dyDescent="0.3">
      <c r="B27" s="3"/>
      <c r="C27" s="3"/>
      <c r="D27" s="3"/>
      <c r="E27" s="3"/>
      <c r="F27" s="3"/>
      <c r="G27" s="3"/>
    </row>
    <row r="28" spans="2:7" x14ac:dyDescent="0.3">
      <c r="B28" s="3"/>
      <c r="C28" s="3"/>
      <c r="D28" s="3"/>
      <c r="E28" s="3"/>
      <c r="F28" s="3"/>
      <c r="G28" s="3"/>
    </row>
    <row r="29" spans="2:7" x14ac:dyDescent="0.3">
      <c r="B29" s="3"/>
      <c r="C29" s="3"/>
      <c r="D29" s="3"/>
      <c r="E29" s="3"/>
      <c r="F29" s="3"/>
      <c r="G29" s="3"/>
    </row>
  </sheetData>
  <hyperlinks>
    <hyperlink ref="A1" location="Menu!A1" display="menu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Drop Down 1">
              <controlPr defaultSize="0" autoLine="0" autoPict="0">
                <anchor moveWithCells="1">
                  <from>
                    <xdr:col>3</xdr:col>
                    <xdr:colOff>15240</xdr:colOff>
                    <xdr:row>5</xdr:row>
                    <xdr:rowOff>22860</xdr:rowOff>
                  </from>
                  <to>
                    <xdr:col>3</xdr:col>
                    <xdr:colOff>1211580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5" name="Drop Down 2">
              <controlPr defaultSize="0" autoLine="0" autoPict="0">
                <anchor moveWithCells="1">
                  <from>
                    <xdr:col>4</xdr:col>
                    <xdr:colOff>15240</xdr:colOff>
                    <xdr:row>5</xdr:row>
                    <xdr:rowOff>22860</xdr:rowOff>
                  </from>
                  <to>
                    <xdr:col>5</xdr:col>
                    <xdr:colOff>22860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5"/>
  <sheetViews>
    <sheetView showGridLines="0" workbookViewId="0"/>
  </sheetViews>
  <sheetFormatPr defaultRowHeight="14.4" x14ac:dyDescent="0.3"/>
  <cols>
    <col min="3" max="3" width="14.88671875" customWidth="1"/>
    <col min="4" max="4" width="23.88671875" customWidth="1"/>
    <col min="5" max="5" width="14.88671875" customWidth="1"/>
    <col min="6" max="6" width="5.44140625" customWidth="1"/>
    <col min="7" max="7" width="12.33203125" bestFit="1" customWidth="1"/>
    <col min="10" max="10" width="15.6640625" bestFit="1" customWidth="1"/>
  </cols>
  <sheetData>
    <row r="1" spans="1:10" x14ac:dyDescent="0.3">
      <c r="A1" s="2" t="s">
        <v>119</v>
      </c>
    </row>
    <row r="2" spans="1:10" x14ac:dyDescent="0.3">
      <c r="H2" t="s">
        <v>335</v>
      </c>
    </row>
    <row r="3" spans="1:10" x14ac:dyDescent="0.3">
      <c r="C3" s="74" t="s">
        <v>138</v>
      </c>
      <c r="D3" s="74" t="s">
        <v>139</v>
      </c>
      <c r="E3" s="74" t="s">
        <v>140</v>
      </c>
    </row>
    <row r="4" spans="1:10" x14ac:dyDescent="0.3">
      <c r="C4" s="3"/>
      <c r="D4" s="3"/>
      <c r="E4" s="3"/>
      <c r="G4" s="75" t="s">
        <v>44</v>
      </c>
      <c r="J4" t="s">
        <v>336</v>
      </c>
    </row>
    <row r="7" spans="1:10" x14ac:dyDescent="0.3">
      <c r="E7" s="20"/>
      <c r="F7" s="34"/>
      <c r="G7" s="68" t="s">
        <v>55</v>
      </c>
    </row>
    <row r="8" spans="1:10" x14ac:dyDescent="0.3">
      <c r="C8" s="70" t="s">
        <v>148</v>
      </c>
      <c r="D8" s="70" t="s">
        <v>138</v>
      </c>
      <c r="E8" s="70" t="s">
        <v>141</v>
      </c>
      <c r="F8" s="70" t="s">
        <v>140</v>
      </c>
      <c r="G8" s="70" t="s">
        <v>118</v>
      </c>
    </row>
    <row r="9" spans="1:10" x14ac:dyDescent="0.3">
      <c r="C9" s="3"/>
      <c r="D9" s="3"/>
      <c r="E9" s="3"/>
      <c r="F9" s="3"/>
      <c r="G9" s="3" t="s">
        <v>133</v>
      </c>
    </row>
    <row r="10" spans="1:10" x14ac:dyDescent="0.3">
      <c r="C10" s="3"/>
      <c r="D10" s="3"/>
      <c r="E10" s="3"/>
      <c r="F10" s="3"/>
      <c r="G10" s="3"/>
      <c r="J10" s="73" t="s">
        <v>157</v>
      </c>
    </row>
    <row r="11" spans="1:10" x14ac:dyDescent="0.3">
      <c r="C11" s="3"/>
      <c r="D11" s="3"/>
      <c r="E11" s="3"/>
      <c r="F11" s="3"/>
      <c r="G11" s="3"/>
      <c r="J11" s="71" t="s">
        <v>142</v>
      </c>
    </row>
    <row r="12" spans="1:10" x14ac:dyDescent="0.3">
      <c r="C12" s="3"/>
      <c r="D12" s="3"/>
      <c r="E12" s="3"/>
      <c r="F12" s="3"/>
      <c r="G12" s="3"/>
      <c r="J12" s="71" t="s">
        <v>144</v>
      </c>
    </row>
    <row r="13" spans="1:10" x14ac:dyDescent="0.3">
      <c r="C13" s="3"/>
      <c r="D13" s="3"/>
      <c r="E13" s="3"/>
      <c r="F13" s="3"/>
      <c r="G13" s="3"/>
      <c r="J13" s="71" t="s">
        <v>145</v>
      </c>
    </row>
    <row r="14" spans="1:10" x14ac:dyDescent="0.3">
      <c r="C14" s="3"/>
      <c r="D14" s="3"/>
      <c r="E14" s="3"/>
      <c r="F14" s="3"/>
      <c r="G14" s="3"/>
      <c r="J14" s="71" t="s">
        <v>140</v>
      </c>
    </row>
    <row r="15" spans="1:10" x14ac:dyDescent="0.3">
      <c r="C15" s="3"/>
      <c r="D15" s="3"/>
      <c r="E15" s="3"/>
      <c r="F15" s="3"/>
      <c r="G15" s="3"/>
      <c r="J15" s="72"/>
    </row>
    <row r="16" spans="1:10" x14ac:dyDescent="0.3">
      <c r="C16" s="3"/>
      <c r="D16" s="3"/>
      <c r="E16" s="3"/>
      <c r="F16" s="3"/>
      <c r="G16" s="3"/>
    </row>
    <row r="17" spans="3:7" x14ac:dyDescent="0.3">
      <c r="C17" s="3"/>
      <c r="D17" s="3"/>
      <c r="E17" s="3"/>
      <c r="F17" s="3"/>
      <c r="G17" s="3"/>
    </row>
    <row r="18" spans="3:7" x14ac:dyDescent="0.3">
      <c r="C18" s="3"/>
      <c r="D18" s="3"/>
      <c r="E18" s="3"/>
      <c r="F18" s="3"/>
      <c r="G18" s="3"/>
    </row>
    <row r="19" spans="3:7" x14ac:dyDescent="0.3">
      <c r="C19" s="3"/>
      <c r="D19" s="3"/>
      <c r="E19" s="3"/>
      <c r="F19" s="3"/>
      <c r="G19" s="3"/>
    </row>
    <row r="20" spans="3:7" x14ac:dyDescent="0.3">
      <c r="C20" s="3"/>
      <c r="D20" s="3"/>
      <c r="E20" s="3"/>
      <c r="F20" s="3"/>
      <c r="G20" s="3"/>
    </row>
    <row r="21" spans="3:7" x14ac:dyDescent="0.3">
      <c r="C21" s="3"/>
      <c r="D21" s="3"/>
      <c r="E21" s="3"/>
      <c r="F21" s="3"/>
      <c r="G21" s="3"/>
    </row>
    <row r="22" spans="3:7" x14ac:dyDescent="0.3">
      <c r="C22" s="3"/>
      <c r="D22" s="3"/>
      <c r="E22" s="3"/>
      <c r="F22" s="3"/>
      <c r="G22" s="3"/>
    </row>
    <row r="23" spans="3:7" x14ac:dyDescent="0.3">
      <c r="C23" s="3"/>
      <c r="D23" s="3"/>
      <c r="E23" s="3"/>
      <c r="F23" s="3"/>
      <c r="G23" s="3"/>
    </row>
    <row r="24" spans="3:7" x14ac:dyDescent="0.3">
      <c r="C24" s="3"/>
      <c r="D24" s="3"/>
      <c r="E24" s="3"/>
      <c r="F24" s="3"/>
      <c r="G24" s="3"/>
    </row>
    <row r="25" spans="3:7" x14ac:dyDescent="0.3">
      <c r="C25" s="3"/>
      <c r="D25" s="3"/>
      <c r="E25" s="3"/>
      <c r="F25" s="3"/>
      <c r="G25" s="3"/>
    </row>
  </sheetData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3" name="Drop Down 1">
              <controlPr defaultSize="0" autoLine="0" autoPict="0">
                <anchor moveWithCells="1">
                  <from>
                    <xdr:col>2</xdr:col>
                    <xdr:colOff>22860</xdr:colOff>
                    <xdr:row>3</xdr:row>
                    <xdr:rowOff>0</xdr:rowOff>
                  </from>
                  <to>
                    <xdr:col>2</xdr:col>
                    <xdr:colOff>1013460</xdr:colOff>
                    <xdr:row>3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4" name="Drop Down 2">
              <controlPr defaultSize="0" autoLine="0" autoPict="0">
                <anchor moveWithCells="1">
                  <from>
                    <xdr:col>4</xdr:col>
                    <xdr:colOff>22860</xdr:colOff>
                    <xdr:row>3</xdr:row>
                    <xdr:rowOff>0</xdr:rowOff>
                  </from>
                  <to>
                    <xdr:col>4</xdr:col>
                    <xdr:colOff>1013460</xdr:colOff>
                    <xdr:row>3</xdr:row>
                    <xdr:rowOff>167640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showGridLines="0" workbookViewId="0"/>
  </sheetViews>
  <sheetFormatPr defaultRowHeight="14.4" x14ac:dyDescent="0.3"/>
  <cols>
    <col min="3" max="3" width="11.88671875" customWidth="1"/>
    <col min="4" max="5" width="10.109375" bestFit="1" customWidth="1"/>
    <col min="6" max="6" width="18.33203125" bestFit="1" customWidth="1"/>
    <col min="9" max="9" width="15.6640625" bestFit="1" customWidth="1"/>
  </cols>
  <sheetData>
    <row r="1" spans="1:9" x14ac:dyDescent="0.3">
      <c r="A1" s="2" t="s">
        <v>33</v>
      </c>
    </row>
    <row r="4" spans="1:9" x14ac:dyDescent="0.3">
      <c r="C4" t="s">
        <v>146</v>
      </c>
      <c r="D4" t="s">
        <v>147</v>
      </c>
    </row>
    <row r="5" spans="1:9" x14ac:dyDescent="0.3">
      <c r="C5" s="3" t="s">
        <v>337</v>
      </c>
      <c r="D5" s="3">
        <v>124</v>
      </c>
      <c r="F5" s="79" t="s">
        <v>44</v>
      </c>
    </row>
    <row r="8" spans="1:9" x14ac:dyDescent="0.3">
      <c r="C8" s="6" t="s">
        <v>148</v>
      </c>
      <c r="D8" s="6" t="s">
        <v>146</v>
      </c>
      <c r="E8" s="6" t="s">
        <v>147</v>
      </c>
      <c r="F8" s="6" t="s">
        <v>149</v>
      </c>
    </row>
    <row r="9" spans="1:9" x14ac:dyDescent="0.3">
      <c r="C9" s="3"/>
      <c r="D9" s="3"/>
      <c r="E9" s="3"/>
      <c r="F9" s="3" t="s">
        <v>338</v>
      </c>
      <c r="I9" s="73" t="s">
        <v>156</v>
      </c>
    </row>
    <row r="10" spans="1:9" x14ac:dyDescent="0.3">
      <c r="C10" s="3"/>
      <c r="D10" s="3"/>
      <c r="E10" s="3"/>
      <c r="F10" s="3"/>
      <c r="I10" s="71" t="s">
        <v>150</v>
      </c>
    </row>
    <row r="11" spans="1:9" x14ac:dyDescent="0.3">
      <c r="C11" s="3"/>
      <c r="D11" s="3"/>
      <c r="E11" s="3"/>
      <c r="F11" s="3"/>
      <c r="I11" s="71" t="s">
        <v>146</v>
      </c>
    </row>
    <row r="12" spans="1:9" x14ac:dyDescent="0.3">
      <c r="C12" s="3"/>
      <c r="D12" s="3"/>
      <c r="E12" s="3"/>
      <c r="F12" s="3"/>
      <c r="I12" s="71" t="s">
        <v>147</v>
      </c>
    </row>
    <row r="13" spans="1:9" x14ac:dyDescent="0.3">
      <c r="C13" s="3"/>
      <c r="D13" s="3"/>
      <c r="E13" s="3"/>
      <c r="F13" s="3"/>
      <c r="I13" s="71"/>
    </row>
    <row r="14" spans="1:9" x14ac:dyDescent="0.3">
      <c r="C14" s="3"/>
      <c r="D14" s="3"/>
      <c r="E14" s="3"/>
      <c r="F14" s="3"/>
      <c r="I14" s="72"/>
    </row>
    <row r="15" spans="1:9" x14ac:dyDescent="0.3">
      <c r="C15" s="3"/>
      <c r="D15" s="3"/>
      <c r="E15" s="3"/>
      <c r="F15" s="3"/>
    </row>
    <row r="16" spans="1:9" x14ac:dyDescent="0.3">
      <c r="C16" s="3"/>
      <c r="D16" s="3"/>
      <c r="E16" s="3"/>
      <c r="F16" s="3"/>
    </row>
    <row r="17" spans="3:6" x14ac:dyDescent="0.3">
      <c r="C17" s="3"/>
      <c r="D17" s="3"/>
      <c r="E17" s="3"/>
      <c r="F17" s="3"/>
    </row>
  </sheetData>
  <hyperlinks>
    <hyperlink ref="A1" location="Menu!A1" display="menu"/>
  </hyperlinks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6"/>
  <sheetViews>
    <sheetView showGridLines="0" workbookViewId="0"/>
  </sheetViews>
  <sheetFormatPr defaultRowHeight="14.4" x14ac:dyDescent="0.3"/>
  <cols>
    <col min="3" max="3" width="17" customWidth="1"/>
    <col min="4" max="4" width="16" customWidth="1"/>
    <col min="6" max="6" width="18.33203125" bestFit="1" customWidth="1"/>
    <col min="9" max="9" width="14.21875" bestFit="1" customWidth="1"/>
  </cols>
  <sheetData>
    <row r="1" spans="1:9" x14ac:dyDescent="0.3">
      <c r="A1" s="2" t="s">
        <v>33</v>
      </c>
    </row>
    <row r="5" spans="1:9" x14ac:dyDescent="0.3">
      <c r="C5" s="3" t="s">
        <v>151</v>
      </c>
      <c r="D5" s="3" t="s">
        <v>36</v>
      </c>
    </row>
    <row r="6" spans="1:9" x14ac:dyDescent="0.3">
      <c r="C6" s="3"/>
      <c r="D6" s="3"/>
      <c r="F6" t="s">
        <v>44</v>
      </c>
    </row>
    <row r="9" spans="1:9" x14ac:dyDescent="0.3">
      <c r="C9" s="81" t="s">
        <v>152</v>
      </c>
      <c r="D9" s="81" t="s">
        <v>151</v>
      </c>
      <c r="E9" s="81" t="s">
        <v>36</v>
      </c>
      <c r="F9" s="81" t="s">
        <v>149</v>
      </c>
    </row>
    <row r="10" spans="1:9" x14ac:dyDescent="0.3">
      <c r="C10" s="3"/>
      <c r="D10" s="3"/>
      <c r="E10" s="3"/>
      <c r="F10" s="3" t="s">
        <v>338</v>
      </c>
      <c r="I10" s="73" t="s">
        <v>155</v>
      </c>
    </row>
    <row r="11" spans="1:9" x14ac:dyDescent="0.3">
      <c r="C11" s="3"/>
      <c r="D11" s="3"/>
      <c r="E11" s="3"/>
      <c r="F11" s="3"/>
      <c r="I11" s="38" t="s">
        <v>153</v>
      </c>
    </row>
    <row r="12" spans="1:9" x14ac:dyDescent="0.3">
      <c r="C12" s="3"/>
      <c r="D12" s="3"/>
      <c r="E12" s="3"/>
      <c r="F12" s="3"/>
      <c r="I12" s="71" t="s">
        <v>154</v>
      </c>
    </row>
    <row r="13" spans="1:9" x14ac:dyDescent="0.3">
      <c r="C13" s="3"/>
      <c r="D13" s="3"/>
      <c r="E13" s="3"/>
      <c r="F13" s="3"/>
      <c r="I13" s="72" t="s">
        <v>36</v>
      </c>
    </row>
    <row r="14" spans="1:9" x14ac:dyDescent="0.3">
      <c r="C14" s="3"/>
      <c r="D14" s="3"/>
      <c r="E14" s="3"/>
      <c r="F14" s="3"/>
    </row>
    <row r="15" spans="1:9" x14ac:dyDescent="0.3">
      <c r="C15" s="3"/>
      <c r="D15" s="3"/>
      <c r="E15" s="3"/>
      <c r="F15" s="3"/>
    </row>
    <row r="16" spans="1:9" x14ac:dyDescent="0.3">
      <c r="C16" s="3"/>
      <c r="D16" s="3"/>
      <c r="E16" s="3"/>
      <c r="F16" s="3"/>
    </row>
  </sheetData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r:id="rId3" name="Drop Down 1">
              <controlPr defaultSize="0" autoLine="0" autoPict="0">
                <anchor moveWithCells="1">
                  <from>
                    <xdr:col>3</xdr:col>
                    <xdr:colOff>30480</xdr:colOff>
                    <xdr:row>5</xdr:row>
                    <xdr:rowOff>15240</xdr:rowOff>
                  </from>
                  <to>
                    <xdr:col>3</xdr:col>
                    <xdr:colOff>1066800</xdr:colOff>
                    <xdr:row>6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9"/>
  <sheetViews>
    <sheetView showGridLines="0" workbookViewId="0">
      <selection activeCell="J10" sqref="J10"/>
    </sheetView>
  </sheetViews>
  <sheetFormatPr defaultRowHeight="14.4" x14ac:dyDescent="0.3"/>
  <cols>
    <col min="3" max="3" width="17" customWidth="1"/>
    <col min="4" max="4" width="17.77734375" bestFit="1" customWidth="1"/>
    <col min="5" max="5" width="17.77734375" customWidth="1"/>
    <col min="6" max="6" width="18.109375" bestFit="1" customWidth="1"/>
    <col min="7" max="7" width="13.5546875" customWidth="1"/>
    <col min="8" max="8" width="9" bestFit="1" customWidth="1"/>
    <col min="9" max="9" width="12" bestFit="1" customWidth="1"/>
    <col min="10" max="10" width="12" customWidth="1"/>
    <col min="12" max="12" width="19.77734375" bestFit="1" customWidth="1"/>
  </cols>
  <sheetData>
    <row r="1" spans="1:12" x14ac:dyDescent="0.3">
      <c r="A1" s="2" t="s">
        <v>33</v>
      </c>
    </row>
    <row r="4" spans="1:12" x14ac:dyDescent="0.3">
      <c r="G4" t="s">
        <v>340</v>
      </c>
    </row>
    <row r="5" spans="1:12" x14ac:dyDescent="0.3">
      <c r="C5" s="6" t="s">
        <v>159</v>
      </c>
      <c r="D5" s="6" t="s">
        <v>161</v>
      </c>
      <c r="E5" s="6" t="s">
        <v>162</v>
      </c>
    </row>
    <row r="6" spans="1:12" x14ac:dyDescent="0.3">
      <c r="C6" s="3" t="s">
        <v>339</v>
      </c>
      <c r="D6" s="3"/>
      <c r="E6" s="3"/>
    </row>
    <row r="8" spans="1:12" x14ac:dyDescent="0.3">
      <c r="G8" s="108" t="s">
        <v>55</v>
      </c>
      <c r="H8" s="106"/>
      <c r="I8" s="107"/>
      <c r="J8" s="114"/>
    </row>
    <row r="9" spans="1:12" x14ac:dyDescent="0.3">
      <c r="C9" s="81" t="s">
        <v>152</v>
      </c>
      <c r="D9" s="81" t="s">
        <v>159</v>
      </c>
      <c r="E9" s="6" t="s">
        <v>162</v>
      </c>
      <c r="F9" s="81" t="s">
        <v>161</v>
      </c>
      <c r="G9" s="378" t="s">
        <v>149</v>
      </c>
      <c r="H9" s="379"/>
      <c r="I9" s="379"/>
      <c r="J9" s="115"/>
    </row>
    <row r="10" spans="1:12" x14ac:dyDescent="0.3">
      <c r="C10" s="3"/>
      <c r="D10" s="3" t="s">
        <v>339</v>
      </c>
      <c r="E10" s="3"/>
      <c r="F10" s="3"/>
      <c r="G10" s="3" t="s">
        <v>222</v>
      </c>
      <c r="H10" s="109" t="s">
        <v>342</v>
      </c>
      <c r="I10" s="109" t="s">
        <v>343</v>
      </c>
      <c r="J10" s="116" t="s">
        <v>361</v>
      </c>
      <c r="L10" s="73" t="s">
        <v>160</v>
      </c>
    </row>
    <row r="11" spans="1:12" x14ac:dyDescent="0.3">
      <c r="C11" s="3"/>
      <c r="D11" s="3" t="s">
        <v>382</v>
      </c>
      <c r="E11" s="3"/>
      <c r="F11" s="3"/>
      <c r="G11" s="3"/>
      <c r="H11" s="3"/>
      <c r="I11" s="3"/>
      <c r="J11" s="21"/>
      <c r="L11" s="71" t="s">
        <v>163</v>
      </c>
    </row>
    <row r="12" spans="1:12" x14ac:dyDescent="0.3">
      <c r="C12" s="3"/>
      <c r="D12" s="3" t="s">
        <v>383</v>
      </c>
      <c r="E12" s="3"/>
      <c r="F12" s="3"/>
      <c r="G12" s="3"/>
      <c r="H12" s="3"/>
      <c r="I12" s="3"/>
      <c r="J12" s="21"/>
      <c r="L12" s="71" t="s">
        <v>164</v>
      </c>
    </row>
    <row r="13" spans="1:12" x14ac:dyDescent="0.3">
      <c r="C13" s="3"/>
      <c r="D13" s="3"/>
      <c r="E13" s="3"/>
      <c r="F13" s="3"/>
      <c r="G13" s="3"/>
      <c r="H13" s="3"/>
      <c r="I13" s="3"/>
      <c r="J13" s="21"/>
      <c r="L13" s="71" t="s">
        <v>165</v>
      </c>
    </row>
    <row r="14" spans="1:12" x14ac:dyDescent="0.3">
      <c r="C14" s="3"/>
      <c r="D14" s="3"/>
      <c r="E14" s="3"/>
      <c r="F14" s="3"/>
      <c r="G14" s="3"/>
      <c r="H14" s="3"/>
      <c r="I14" s="3"/>
      <c r="J14" s="21"/>
      <c r="L14" s="71" t="s">
        <v>166</v>
      </c>
    </row>
    <row r="15" spans="1:12" x14ac:dyDescent="0.3">
      <c r="C15" s="3"/>
      <c r="D15" s="3"/>
      <c r="E15" s="3"/>
      <c r="F15" s="3"/>
      <c r="G15" s="3"/>
      <c r="H15" s="3"/>
      <c r="I15" s="3"/>
      <c r="J15" s="21"/>
      <c r="L15" s="72"/>
    </row>
    <row r="16" spans="1:12" x14ac:dyDescent="0.3">
      <c r="C16" s="3"/>
      <c r="D16" s="3"/>
      <c r="E16" s="3"/>
      <c r="F16" s="3"/>
      <c r="G16" s="3"/>
      <c r="H16" s="3"/>
      <c r="I16" s="3"/>
      <c r="J16" s="21"/>
    </row>
    <row r="19" spans="5:5" x14ac:dyDescent="0.3">
      <c r="E19" t="s">
        <v>447</v>
      </c>
    </row>
  </sheetData>
  <mergeCells count="1">
    <mergeCell ref="G9:I9"/>
  </mergeCells>
  <hyperlinks>
    <hyperlink ref="A1" location="Menu!A1" display="menu"/>
    <hyperlink ref="H10" location="Carrier_PIC!A1" display="ADD PIC "/>
    <hyperlink ref="I10" location="'Carrier Service Port'!A1" display="Service Port"/>
    <hyperlink ref="J10" location="'Carrier Service Port_pair'!A1" display="Port Pair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8" r:id="rId4" name="Drop Down 2">
              <controlPr defaultSize="0" autoLine="0" autoPict="0">
                <anchor moveWithCells="1">
                  <from>
                    <xdr:col>4</xdr:col>
                    <xdr:colOff>22860</xdr:colOff>
                    <xdr:row>5</xdr:row>
                    <xdr:rowOff>30480</xdr:rowOff>
                  </from>
                  <to>
                    <xdr:col>4</xdr:col>
                    <xdr:colOff>1196340</xdr:colOff>
                    <xdr:row>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9" r:id="rId5" name="Button 3">
              <controlPr defaultSize="0" print="0" autoFill="0" autoPict="0" macro="[0]!ADD">
                <anchor moveWithCells="1">
                  <from>
                    <xdr:col>5</xdr:col>
                    <xdr:colOff>182880</xdr:colOff>
                    <xdr:row>4</xdr:row>
                    <xdr:rowOff>160020</xdr:rowOff>
                  </from>
                  <to>
                    <xdr:col>5</xdr:col>
                    <xdr:colOff>701040</xdr:colOff>
                    <xdr:row>6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4"/>
  <sheetViews>
    <sheetView showGridLines="0" workbookViewId="0">
      <selection activeCell="J24" sqref="J24"/>
    </sheetView>
  </sheetViews>
  <sheetFormatPr defaultRowHeight="14.4" x14ac:dyDescent="0.3"/>
  <cols>
    <col min="3" max="5" width="15.109375" customWidth="1"/>
    <col min="6" max="6" width="15.77734375" customWidth="1"/>
    <col min="7" max="7" width="16.77734375" customWidth="1"/>
    <col min="8" max="8" width="15.88671875" customWidth="1"/>
    <col min="9" max="9" width="11.33203125" customWidth="1"/>
    <col min="10" max="10" width="12.33203125" bestFit="1" customWidth="1"/>
    <col min="13" max="13" width="20.77734375" bestFit="1" customWidth="1"/>
  </cols>
  <sheetData>
    <row r="1" spans="1:13" x14ac:dyDescent="0.3">
      <c r="A1" s="2" t="s">
        <v>119</v>
      </c>
    </row>
    <row r="4" spans="1:13" x14ac:dyDescent="0.3">
      <c r="C4" s="6" t="s">
        <v>170</v>
      </c>
      <c r="D4" s="6" t="s">
        <v>212</v>
      </c>
      <c r="E4" s="6" t="s">
        <v>171</v>
      </c>
      <c r="F4" s="6" t="s">
        <v>174</v>
      </c>
      <c r="G4" s="6" t="s">
        <v>173</v>
      </c>
      <c r="H4" s="6" t="s">
        <v>172</v>
      </c>
      <c r="I4" s="6" t="s">
        <v>128</v>
      </c>
    </row>
    <row r="5" spans="1:13" x14ac:dyDescent="0.3">
      <c r="C5" s="3"/>
      <c r="D5" s="3"/>
      <c r="E5" s="3"/>
      <c r="F5" s="3"/>
      <c r="G5" s="3"/>
      <c r="H5" s="3"/>
      <c r="I5" s="3"/>
      <c r="K5" s="11" t="s">
        <v>44</v>
      </c>
    </row>
    <row r="7" spans="1:13" x14ac:dyDescent="0.3">
      <c r="I7" s="84" t="s">
        <v>123</v>
      </c>
      <c r="J7" s="34"/>
    </row>
    <row r="8" spans="1:13" x14ac:dyDescent="0.3">
      <c r="B8" s="6" t="s">
        <v>175</v>
      </c>
      <c r="C8" s="6" t="s">
        <v>170</v>
      </c>
      <c r="D8" s="6" t="s">
        <v>212</v>
      </c>
      <c r="E8" s="6" t="s">
        <v>171</v>
      </c>
      <c r="F8" s="6" t="s">
        <v>174</v>
      </c>
      <c r="G8" s="6" t="s">
        <v>173</v>
      </c>
      <c r="H8" s="6" t="s">
        <v>172</v>
      </c>
      <c r="I8" s="6" t="s">
        <v>128</v>
      </c>
      <c r="J8" s="6" t="s">
        <v>118</v>
      </c>
      <c r="M8" s="6" t="s">
        <v>188</v>
      </c>
    </row>
    <row r="9" spans="1:13" x14ac:dyDescent="0.3">
      <c r="B9" s="3"/>
      <c r="C9" s="3"/>
      <c r="D9" s="3"/>
      <c r="E9" s="3"/>
      <c r="F9" s="3"/>
      <c r="G9" s="3"/>
      <c r="H9" s="3"/>
      <c r="I9" s="3"/>
      <c r="J9" s="3" t="s">
        <v>133</v>
      </c>
      <c r="M9" s="71" t="s">
        <v>163</v>
      </c>
    </row>
    <row r="10" spans="1:13" x14ac:dyDescent="0.3">
      <c r="B10" s="3"/>
      <c r="C10" s="3"/>
      <c r="D10" s="3"/>
      <c r="E10" s="3"/>
      <c r="F10" s="3"/>
      <c r="G10" s="3"/>
      <c r="H10" s="3"/>
      <c r="I10" s="3"/>
      <c r="J10" s="3"/>
      <c r="M10" s="71" t="s">
        <v>178</v>
      </c>
    </row>
    <row r="11" spans="1:13" x14ac:dyDescent="0.3">
      <c r="B11" s="3"/>
      <c r="C11" s="3"/>
      <c r="D11" s="3"/>
      <c r="E11" s="3"/>
      <c r="F11" s="3"/>
      <c r="G11" s="3"/>
      <c r="H11" s="3"/>
      <c r="I11" s="3"/>
      <c r="J11" s="3"/>
      <c r="M11" s="71" t="s">
        <v>179</v>
      </c>
    </row>
    <row r="12" spans="1:13" x14ac:dyDescent="0.3">
      <c r="B12" s="3"/>
      <c r="C12" s="3"/>
      <c r="D12" s="3"/>
      <c r="E12" s="3"/>
      <c r="F12" s="3"/>
      <c r="G12" s="3"/>
      <c r="H12" s="3"/>
      <c r="I12" s="3"/>
      <c r="J12" s="3"/>
      <c r="M12" s="71" t="s">
        <v>341</v>
      </c>
    </row>
    <row r="13" spans="1:13" x14ac:dyDescent="0.3">
      <c r="B13" s="3"/>
      <c r="C13" s="3"/>
      <c r="D13" s="3"/>
      <c r="E13" s="3"/>
      <c r="F13" s="3"/>
      <c r="G13" s="3"/>
      <c r="H13" s="3"/>
      <c r="I13" s="3"/>
      <c r="J13" s="3"/>
      <c r="M13" s="71" t="s">
        <v>180</v>
      </c>
    </row>
    <row r="14" spans="1:13" x14ac:dyDescent="0.3">
      <c r="B14" s="3"/>
      <c r="C14" s="3"/>
      <c r="D14" s="3"/>
      <c r="E14" s="3"/>
      <c r="F14" s="3"/>
      <c r="G14" s="3"/>
      <c r="H14" s="3"/>
      <c r="I14" s="3"/>
      <c r="J14" s="3"/>
      <c r="M14" s="71" t="s">
        <v>181</v>
      </c>
    </row>
    <row r="15" spans="1:13" x14ac:dyDescent="0.3">
      <c r="B15" s="3"/>
      <c r="C15" s="3"/>
      <c r="D15" s="3"/>
      <c r="E15" s="3"/>
      <c r="F15" s="3"/>
      <c r="G15" s="3"/>
      <c r="H15" s="3"/>
      <c r="I15" s="3"/>
      <c r="J15" s="3"/>
      <c r="M15" s="71" t="s">
        <v>182</v>
      </c>
    </row>
    <row r="16" spans="1:13" x14ac:dyDescent="0.3">
      <c r="B16" s="3"/>
      <c r="C16" s="3"/>
      <c r="D16" s="3"/>
      <c r="E16" s="3"/>
      <c r="F16" s="3"/>
      <c r="G16" s="3"/>
      <c r="H16" s="3"/>
      <c r="I16" s="3"/>
      <c r="J16" s="3"/>
      <c r="M16" s="71" t="s">
        <v>183</v>
      </c>
    </row>
    <row r="17" spans="2:13" x14ac:dyDescent="0.3">
      <c r="B17" s="3"/>
      <c r="C17" s="3"/>
      <c r="D17" s="3"/>
      <c r="E17" s="3"/>
      <c r="F17" s="3"/>
      <c r="G17" s="3"/>
      <c r="H17" s="3"/>
      <c r="I17" s="3"/>
      <c r="J17" s="3"/>
      <c r="M17" s="72" t="s">
        <v>184</v>
      </c>
    </row>
    <row r="18" spans="2:13" x14ac:dyDescent="0.3">
      <c r="B18" s="3"/>
      <c r="C18" s="3"/>
      <c r="D18" s="3"/>
      <c r="E18" s="3"/>
      <c r="F18" s="3"/>
      <c r="G18" s="3"/>
      <c r="H18" s="3"/>
      <c r="I18" s="3"/>
      <c r="J18" s="3"/>
    </row>
    <row r="19" spans="2:13" x14ac:dyDescent="0.3">
      <c r="B19" s="3"/>
      <c r="C19" s="3"/>
      <c r="D19" s="3"/>
      <c r="E19" s="3"/>
      <c r="F19" s="3"/>
      <c r="G19" s="3"/>
      <c r="H19" s="3"/>
      <c r="I19" s="3"/>
      <c r="J19" s="3"/>
    </row>
    <row r="20" spans="2:13" x14ac:dyDescent="0.3">
      <c r="B20" s="3"/>
      <c r="C20" s="3"/>
      <c r="D20" s="3"/>
      <c r="E20" s="3"/>
      <c r="F20" s="3"/>
      <c r="G20" s="3"/>
      <c r="H20" s="3"/>
      <c r="I20" s="3"/>
      <c r="J20" s="3"/>
    </row>
    <row r="21" spans="2:13" x14ac:dyDescent="0.3">
      <c r="B21" s="3"/>
      <c r="C21" s="3"/>
      <c r="D21" s="3"/>
      <c r="E21" s="3"/>
      <c r="F21" s="3"/>
      <c r="G21" s="3"/>
      <c r="H21" s="3"/>
      <c r="I21" s="3"/>
      <c r="J21" s="3"/>
    </row>
    <row r="22" spans="2:13" x14ac:dyDescent="0.3">
      <c r="B22" s="3"/>
      <c r="C22" s="3"/>
      <c r="D22" s="3"/>
      <c r="E22" s="3"/>
      <c r="F22" s="3"/>
      <c r="G22" s="3"/>
      <c r="H22" s="3"/>
      <c r="I22" s="3"/>
      <c r="J22" s="3"/>
    </row>
    <row r="24" spans="2:13" x14ac:dyDescent="0.3">
      <c r="J24" s="85" t="s">
        <v>176</v>
      </c>
    </row>
  </sheetData>
  <hyperlinks>
    <hyperlink ref="A1" location="Menu!A1" display="Menu"/>
    <hyperlink ref="J24" location="Carrier!A1" display="Back to list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625" r:id="rId3" name="Drop Down 1">
              <controlPr defaultSize="0" autoLine="0" autoPict="0">
                <anchor moveWithCells="1">
                  <from>
                    <xdr:col>8</xdr:col>
                    <xdr:colOff>7620</xdr:colOff>
                    <xdr:row>4</xdr:row>
                    <xdr:rowOff>22860</xdr:rowOff>
                  </from>
                  <to>
                    <xdr:col>8</xdr:col>
                    <xdr:colOff>762000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7"/>
  <sheetViews>
    <sheetView showGridLines="0" workbookViewId="0"/>
  </sheetViews>
  <sheetFormatPr defaultRowHeight="14.4" x14ac:dyDescent="0.3"/>
  <cols>
    <col min="3" max="3" width="15.109375" customWidth="1"/>
    <col min="4" max="4" width="16.33203125" customWidth="1"/>
    <col min="5" max="5" width="19.77734375" bestFit="1" customWidth="1"/>
    <col min="6" max="6" width="17.6640625" bestFit="1" customWidth="1"/>
    <col min="7" max="7" width="13.33203125" customWidth="1"/>
    <col min="8" max="8" width="11.33203125" customWidth="1"/>
    <col min="9" max="9" width="36.33203125" bestFit="1" customWidth="1"/>
  </cols>
  <sheetData>
    <row r="1" spans="1:10" x14ac:dyDescent="0.3">
      <c r="A1" s="2" t="s">
        <v>119</v>
      </c>
    </row>
    <row r="3" spans="1:10" x14ac:dyDescent="0.3">
      <c r="B3" s="14"/>
      <c r="C3" s="14"/>
      <c r="D3" s="14"/>
      <c r="E3" s="14"/>
      <c r="F3" s="14"/>
      <c r="G3" s="14"/>
      <c r="H3" s="14"/>
      <c r="I3" s="14"/>
      <c r="J3" s="14"/>
    </row>
    <row r="4" spans="1:10" x14ac:dyDescent="0.3">
      <c r="B4" s="14"/>
      <c r="C4" s="14"/>
      <c r="D4" s="14"/>
      <c r="E4" s="14"/>
      <c r="F4" s="14"/>
      <c r="G4" s="14"/>
      <c r="H4" s="14"/>
      <c r="I4" s="14"/>
      <c r="J4" s="14"/>
    </row>
    <row r="5" spans="1:10" x14ac:dyDescent="0.3">
      <c r="B5" s="14"/>
      <c r="C5" s="88" t="s">
        <v>128</v>
      </c>
      <c r="D5" s="88" t="s">
        <v>177</v>
      </c>
      <c r="E5" s="88" t="s">
        <v>185</v>
      </c>
      <c r="F5" s="88" t="s">
        <v>186</v>
      </c>
      <c r="G5" s="14"/>
      <c r="H5" s="14"/>
      <c r="I5" s="14"/>
      <c r="J5" s="14"/>
    </row>
    <row r="6" spans="1:10" x14ac:dyDescent="0.3">
      <c r="B6" s="14"/>
      <c r="C6" s="80"/>
      <c r="D6" s="80"/>
      <c r="E6" s="80"/>
      <c r="F6" s="80"/>
      <c r="G6" s="89" t="s">
        <v>44</v>
      </c>
      <c r="H6" s="14"/>
      <c r="I6" s="14"/>
      <c r="J6" s="14"/>
    </row>
    <row r="7" spans="1:10" x14ac:dyDescent="0.3">
      <c r="B7" s="14"/>
      <c r="C7" s="14"/>
      <c r="D7" s="14"/>
      <c r="E7" s="14"/>
      <c r="F7" s="14"/>
      <c r="G7" s="14"/>
      <c r="H7" s="86"/>
      <c r="I7" s="14"/>
      <c r="J7" s="14"/>
    </row>
    <row r="8" spans="1:10" x14ac:dyDescent="0.3">
      <c r="B8" s="14"/>
      <c r="C8" s="14"/>
      <c r="D8" s="14"/>
      <c r="E8" s="14"/>
      <c r="F8" s="14"/>
      <c r="G8" s="14"/>
      <c r="H8" s="14"/>
      <c r="I8" s="14"/>
      <c r="J8" s="14"/>
    </row>
    <row r="9" spans="1:10" x14ac:dyDescent="0.3">
      <c r="B9" s="14"/>
      <c r="C9" s="14"/>
      <c r="D9" s="14"/>
      <c r="E9" s="14"/>
      <c r="F9" s="14"/>
      <c r="G9" s="14"/>
      <c r="H9" s="14"/>
      <c r="I9" s="14"/>
      <c r="J9" s="14"/>
    </row>
    <row r="10" spans="1:10" x14ac:dyDescent="0.3">
      <c r="B10" s="82" t="s">
        <v>131</v>
      </c>
      <c r="C10" s="88" t="s">
        <v>128</v>
      </c>
      <c r="D10" s="88" t="s">
        <v>177</v>
      </c>
      <c r="E10" s="88" t="s">
        <v>185</v>
      </c>
      <c r="F10" s="88" t="s">
        <v>186</v>
      </c>
      <c r="G10" s="88" t="s">
        <v>118</v>
      </c>
      <c r="H10" s="14"/>
      <c r="I10" s="14"/>
      <c r="J10" s="14"/>
    </row>
    <row r="11" spans="1:10" x14ac:dyDescent="0.3">
      <c r="B11" s="80"/>
      <c r="C11" s="80"/>
      <c r="D11" s="80"/>
      <c r="E11" s="80"/>
      <c r="F11" s="80"/>
      <c r="G11" s="80" t="s">
        <v>187</v>
      </c>
      <c r="H11" s="14"/>
      <c r="I11" s="82" t="s">
        <v>189</v>
      </c>
      <c r="J11" s="14"/>
    </row>
    <row r="12" spans="1:10" x14ac:dyDescent="0.3">
      <c r="B12" s="80"/>
      <c r="C12" s="80"/>
      <c r="D12" s="80"/>
      <c r="E12" s="80"/>
      <c r="F12" s="80"/>
      <c r="G12" s="80"/>
      <c r="H12" s="14"/>
      <c r="I12" s="71" t="s">
        <v>163</v>
      </c>
      <c r="J12" s="14"/>
    </row>
    <row r="13" spans="1:10" x14ac:dyDescent="0.3">
      <c r="B13" s="80"/>
      <c r="C13" s="80"/>
      <c r="D13" s="80"/>
      <c r="E13" s="80"/>
      <c r="F13" s="80"/>
      <c r="G13" s="80"/>
      <c r="H13" s="14"/>
      <c r="I13" s="83" t="s">
        <v>190</v>
      </c>
      <c r="J13" s="14"/>
    </row>
    <row r="14" spans="1:10" x14ac:dyDescent="0.3">
      <c r="B14" s="80"/>
      <c r="C14" s="80"/>
      <c r="D14" s="80"/>
      <c r="E14" s="80"/>
      <c r="F14" s="80"/>
      <c r="G14" s="80"/>
      <c r="H14" s="14"/>
      <c r="I14" s="83" t="s">
        <v>191</v>
      </c>
      <c r="J14" s="14"/>
    </row>
    <row r="15" spans="1:10" x14ac:dyDescent="0.3">
      <c r="B15" s="80"/>
      <c r="C15" s="80"/>
      <c r="D15" s="80"/>
      <c r="E15" s="80"/>
      <c r="F15" s="80"/>
      <c r="G15" s="80"/>
      <c r="H15" s="14"/>
      <c r="I15" s="83" t="s">
        <v>192</v>
      </c>
      <c r="J15" s="14"/>
    </row>
    <row r="16" spans="1:10" x14ac:dyDescent="0.3">
      <c r="B16" s="80"/>
      <c r="C16" s="80"/>
      <c r="D16" s="80"/>
      <c r="E16" s="80"/>
      <c r="F16" s="80"/>
      <c r="G16" s="80"/>
      <c r="H16" s="14"/>
      <c r="I16" s="83" t="s">
        <v>193</v>
      </c>
      <c r="J16" s="14"/>
    </row>
    <row r="17" spans="2:10" x14ac:dyDescent="0.3">
      <c r="B17" s="80"/>
      <c r="C17" s="80"/>
      <c r="D17" s="80"/>
      <c r="E17" s="80"/>
      <c r="F17" s="80"/>
      <c r="G17" s="80"/>
      <c r="H17" s="14"/>
      <c r="I17" s="91" t="s">
        <v>194</v>
      </c>
      <c r="J17" s="14"/>
    </row>
    <row r="18" spans="2:10" x14ac:dyDescent="0.3">
      <c r="B18" s="80"/>
      <c r="C18" s="80"/>
      <c r="D18" s="80"/>
      <c r="E18" s="80"/>
      <c r="F18" s="80"/>
      <c r="G18" s="80"/>
      <c r="H18" s="14"/>
      <c r="I18" s="14"/>
      <c r="J18" s="14"/>
    </row>
    <row r="19" spans="2:10" x14ac:dyDescent="0.3">
      <c r="B19" s="80"/>
      <c r="C19" s="80"/>
      <c r="D19" s="80"/>
      <c r="E19" s="80"/>
      <c r="F19" s="80"/>
      <c r="G19" s="80"/>
      <c r="H19" s="14"/>
      <c r="I19" s="14"/>
      <c r="J19" s="14"/>
    </row>
    <row r="20" spans="2:10" x14ac:dyDescent="0.3">
      <c r="B20" s="80"/>
      <c r="C20" s="80"/>
      <c r="D20" s="80"/>
      <c r="E20" s="80"/>
      <c r="F20" s="80"/>
      <c r="G20" s="80"/>
      <c r="H20" s="14"/>
      <c r="I20" s="14"/>
      <c r="J20" s="14"/>
    </row>
    <row r="21" spans="2:10" x14ac:dyDescent="0.3">
      <c r="B21" s="80"/>
      <c r="C21" s="80"/>
      <c r="D21" s="80"/>
      <c r="E21" s="80"/>
      <c r="F21" s="80"/>
      <c r="G21" s="80"/>
      <c r="H21" s="14"/>
      <c r="I21" s="14"/>
      <c r="J21" s="14"/>
    </row>
    <row r="22" spans="2:10" x14ac:dyDescent="0.3">
      <c r="B22" s="80"/>
      <c r="C22" s="80"/>
      <c r="D22" s="80"/>
      <c r="E22" s="80"/>
      <c r="F22" s="80"/>
      <c r="G22" s="80"/>
      <c r="H22" s="14"/>
      <c r="I22" s="14"/>
      <c r="J22" s="14"/>
    </row>
    <row r="23" spans="2:10" x14ac:dyDescent="0.3">
      <c r="B23" s="80"/>
      <c r="C23" s="80"/>
      <c r="D23" s="80"/>
      <c r="E23" s="80"/>
      <c r="F23" s="80"/>
      <c r="G23" s="80"/>
      <c r="H23" s="14"/>
      <c r="I23" s="14"/>
      <c r="J23" s="14"/>
    </row>
    <row r="24" spans="2:10" x14ac:dyDescent="0.3">
      <c r="B24" s="80"/>
      <c r="C24" s="80"/>
      <c r="D24" s="80"/>
      <c r="E24" s="80"/>
      <c r="F24" s="80"/>
      <c r="G24" s="80"/>
      <c r="H24" s="14"/>
      <c r="I24" s="87"/>
      <c r="J24" s="14"/>
    </row>
    <row r="25" spans="2:10" x14ac:dyDescent="0.3">
      <c r="B25" s="80"/>
      <c r="C25" s="80"/>
      <c r="D25" s="80"/>
      <c r="E25" s="80"/>
      <c r="F25" s="80"/>
      <c r="G25" s="80"/>
      <c r="H25" s="14"/>
      <c r="I25" s="14"/>
      <c r="J25" s="14"/>
    </row>
    <row r="27" spans="2:10" x14ac:dyDescent="0.3">
      <c r="G27" s="85" t="s">
        <v>223</v>
      </c>
    </row>
  </sheetData>
  <hyperlinks>
    <hyperlink ref="A1" location="Menu!A1" display="Menu"/>
    <hyperlink ref="G27" location="Carrier!A1" display="back to list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3" name="Drop Down 1">
              <controlPr defaultSize="0" autoLine="0" autoPict="0">
                <anchor moveWithCells="1">
                  <from>
                    <xdr:col>4</xdr:col>
                    <xdr:colOff>7620</xdr:colOff>
                    <xdr:row>5</xdr:row>
                    <xdr:rowOff>15240</xdr:rowOff>
                  </from>
                  <to>
                    <xdr:col>4</xdr:col>
                    <xdr:colOff>1348740</xdr:colOff>
                    <xdr:row>5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4" name="Drop Down 2">
              <controlPr defaultSize="0" autoLine="0" autoPict="0">
                <anchor moveWithCells="1">
                  <from>
                    <xdr:col>5</xdr:col>
                    <xdr:colOff>7620</xdr:colOff>
                    <xdr:row>5</xdr:row>
                    <xdr:rowOff>7620</xdr:rowOff>
                  </from>
                  <to>
                    <xdr:col>5</xdr:col>
                    <xdr:colOff>1188720</xdr:colOff>
                    <xdr:row>5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3" r:id="rId5" name="Drop Down 5">
              <controlPr defaultSize="0" autoLine="0" autoPict="0">
                <anchor moveWithCells="1">
                  <from>
                    <xdr:col>1</xdr:col>
                    <xdr:colOff>594360</xdr:colOff>
                    <xdr:row>5</xdr:row>
                    <xdr:rowOff>0</xdr:rowOff>
                  </from>
                  <to>
                    <xdr:col>2</xdr:col>
                    <xdr:colOff>1028700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4" r:id="rId6" name="Drop Down 6">
              <controlPr defaultSize="0" autoLine="0" autoPict="0">
                <anchor moveWithCells="1">
                  <from>
                    <xdr:col>3</xdr:col>
                    <xdr:colOff>0</xdr:colOff>
                    <xdr:row>4</xdr:row>
                    <xdr:rowOff>175260</xdr:rowOff>
                  </from>
                  <to>
                    <xdr:col>3</xdr:col>
                    <xdr:colOff>1043940</xdr:colOff>
                    <xdr:row>6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7"/>
  <sheetViews>
    <sheetView showGridLines="0" workbookViewId="0"/>
  </sheetViews>
  <sheetFormatPr defaultRowHeight="14.4" x14ac:dyDescent="0.3"/>
  <cols>
    <col min="3" max="3" width="15.109375" customWidth="1"/>
    <col min="4" max="4" width="16.33203125" customWidth="1"/>
    <col min="5" max="5" width="19.77734375" bestFit="1" customWidth="1"/>
    <col min="6" max="6" width="17.6640625" bestFit="1" customWidth="1"/>
    <col min="7" max="7" width="17.6640625" customWidth="1"/>
    <col min="8" max="8" width="13.33203125" customWidth="1"/>
    <col min="9" max="9" width="11.33203125" customWidth="1"/>
    <col min="10" max="10" width="36.33203125" bestFit="1" customWidth="1"/>
  </cols>
  <sheetData>
    <row r="1" spans="1:11" x14ac:dyDescent="0.3">
      <c r="A1" s="2" t="s">
        <v>119</v>
      </c>
    </row>
    <row r="3" spans="1:11" x14ac:dyDescent="0.3"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x14ac:dyDescent="0.3"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x14ac:dyDescent="0.3">
      <c r="B5" s="14"/>
      <c r="C5" s="88" t="s">
        <v>34</v>
      </c>
      <c r="D5" s="88" t="s">
        <v>35</v>
      </c>
      <c r="E5" s="88" t="s">
        <v>185</v>
      </c>
      <c r="F5" s="88" t="s">
        <v>186</v>
      </c>
      <c r="G5" s="119" t="s">
        <v>376</v>
      </c>
      <c r="H5" s="14"/>
      <c r="I5" s="14"/>
      <c r="J5" s="14"/>
      <c r="K5" s="14"/>
    </row>
    <row r="6" spans="1:11" x14ac:dyDescent="0.3">
      <c r="B6" s="14"/>
      <c r="C6" s="80"/>
      <c r="D6" s="80"/>
      <c r="E6" s="80"/>
      <c r="F6" s="80"/>
      <c r="G6" s="120"/>
      <c r="H6" s="89" t="s">
        <v>44</v>
      </c>
      <c r="I6" s="14"/>
      <c r="J6" s="14"/>
      <c r="K6" s="14"/>
    </row>
    <row r="7" spans="1:11" x14ac:dyDescent="0.3">
      <c r="B7" s="14"/>
      <c r="C7" s="14"/>
      <c r="D7" s="14"/>
      <c r="E7" s="14"/>
      <c r="F7" s="14"/>
      <c r="G7" s="14"/>
      <c r="H7" s="14"/>
      <c r="I7" s="86"/>
      <c r="J7" s="14"/>
      <c r="K7" s="14"/>
    </row>
    <row r="8" spans="1:11" x14ac:dyDescent="0.3">
      <c r="B8" s="14"/>
      <c r="C8" s="14"/>
      <c r="D8" s="14"/>
      <c r="E8" s="14"/>
      <c r="F8" s="14"/>
      <c r="G8" s="14"/>
      <c r="H8" s="14"/>
      <c r="I8" s="14"/>
      <c r="J8" s="14"/>
      <c r="K8" s="14"/>
    </row>
    <row r="9" spans="1:11" x14ac:dyDescent="0.3">
      <c r="B9" s="14"/>
      <c r="C9" s="14"/>
      <c r="D9" s="14"/>
      <c r="E9" s="14"/>
      <c r="F9" s="14"/>
      <c r="G9" s="14"/>
      <c r="H9" s="14"/>
      <c r="I9" s="14"/>
      <c r="J9" s="14"/>
      <c r="K9" s="14"/>
    </row>
    <row r="10" spans="1:11" x14ac:dyDescent="0.3">
      <c r="B10" s="82" t="s">
        <v>131</v>
      </c>
      <c r="C10" s="88" t="s">
        <v>34</v>
      </c>
      <c r="D10" s="88" t="s">
        <v>35</v>
      </c>
      <c r="E10" s="88" t="s">
        <v>185</v>
      </c>
      <c r="F10" s="88" t="s">
        <v>186</v>
      </c>
      <c r="G10" s="88" t="s">
        <v>104</v>
      </c>
      <c r="H10" s="88" t="s">
        <v>118</v>
      </c>
      <c r="I10" s="14"/>
      <c r="J10" s="14"/>
      <c r="K10" s="14"/>
    </row>
    <row r="11" spans="1:11" x14ac:dyDescent="0.3">
      <c r="B11" s="80"/>
      <c r="C11" s="80" t="s">
        <v>372</v>
      </c>
      <c r="D11" s="80" t="s">
        <v>375</v>
      </c>
      <c r="E11" s="80">
        <v>1</v>
      </c>
      <c r="F11" s="80"/>
      <c r="G11" s="80"/>
      <c r="H11" s="80" t="s">
        <v>187</v>
      </c>
      <c r="I11" s="14"/>
      <c r="J11" s="82" t="s">
        <v>379</v>
      </c>
      <c r="K11" s="14"/>
    </row>
    <row r="12" spans="1:11" x14ac:dyDescent="0.3">
      <c r="B12" s="80"/>
      <c r="C12" s="80" t="s">
        <v>372</v>
      </c>
      <c r="D12" s="80" t="s">
        <v>373</v>
      </c>
      <c r="E12" s="80"/>
      <c r="F12" s="80"/>
      <c r="G12" s="80"/>
      <c r="H12" s="80"/>
      <c r="I12" s="14"/>
      <c r="J12" s="71" t="s">
        <v>163</v>
      </c>
      <c r="K12" s="14"/>
    </row>
    <row r="13" spans="1:11" x14ac:dyDescent="0.3">
      <c r="B13" s="80"/>
      <c r="C13" s="80" t="s">
        <v>372</v>
      </c>
      <c r="D13" s="80" t="s">
        <v>380</v>
      </c>
      <c r="E13" s="80"/>
      <c r="F13" s="80"/>
      <c r="G13" s="80"/>
      <c r="H13" s="80"/>
      <c r="I13" s="14"/>
      <c r="J13" s="83" t="s">
        <v>377</v>
      </c>
      <c r="K13" s="14"/>
    </row>
    <row r="14" spans="1:11" x14ac:dyDescent="0.3">
      <c r="B14" s="80"/>
      <c r="C14" s="80" t="s">
        <v>381</v>
      </c>
      <c r="D14" s="80" t="s">
        <v>380</v>
      </c>
      <c r="E14" s="80"/>
      <c r="F14" s="80"/>
      <c r="G14" s="80"/>
      <c r="H14" s="80"/>
      <c r="I14" s="14"/>
      <c r="J14" s="83" t="s">
        <v>378</v>
      </c>
      <c r="K14" s="14"/>
    </row>
    <row r="15" spans="1:11" x14ac:dyDescent="0.3">
      <c r="B15" s="80"/>
      <c r="C15" s="80"/>
      <c r="D15" s="80"/>
      <c r="E15" s="80"/>
      <c r="F15" s="80"/>
      <c r="G15" s="80"/>
      <c r="H15" s="80"/>
      <c r="I15" s="14"/>
      <c r="J15" s="14" t="s">
        <v>185</v>
      </c>
      <c r="K15" s="14"/>
    </row>
    <row r="16" spans="1:11" x14ac:dyDescent="0.3">
      <c r="B16" s="80"/>
      <c r="C16" s="80"/>
      <c r="D16" s="80"/>
      <c r="E16" s="80"/>
      <c r="F16" s="80"/>
      <c r="G16" s="80"/>
      <c r="H16" s="80"/>
      <c r="I16" s="14"/>
      <c r="J16" t="s">
        <v>186</v>
      </c>
      <c r="K16" s="14"/>
    </row>
    <row r="17" spans="2:11" x14ac:dyDescent="0.3">
      <c r="B17" s="80"/>
      <c r="C17" s="80"/>
      <c r="D17" s="80"/>
      <c r="E17" s="80"/>
      <c r="F17" s="80"/>
      <c r="G17" s="80"/>
      <c r="H17" s="80"/>
      <c r="I17" s="14"/>
      <c r="J17" s="83" t="s">
        <v>104</v>
      </c>
      <c r="K17" s="14"/>
    </row>
    <row r="18" spans="2:11" x14ac:dyDescent="0.3">
      <c r="B18" s="80"/>
      <c r="C18" s="80"/>
      <c r="D18" s="80"/>
      <c r="E18" s="80"/>
      <c r="F18" s="80"/>
      <c r="G18" s="80"/>
      <c r="H18" s="80"/>
      <c r="I18" s="14"/>
      <c r="J18" s="83"/>
      <c r="K18" s="14"/>
    </row>
    <row r="19" spans="2:11" x14ac:dyDescent="0.3">
      <c r="B19" s="80"/>
      <c r="C19" s="80"/>
      <c r="D19" s="80"/>
      <c r="E19" s="80"/>
      <c r="F19" s="80"/>
      <c r="G19" s="80"/>
      <c r="H19" s="80"/>
      <c r="I19" s="14"/>
      <c r="J19" s="83"/>
      <c r="K19" s="14"/>
    </row>
    <row r="20" spans="2:11" x14ac:dyDescent="0.3">
      <c r="B20" s="80"/>
      <c r="C20" s="80"/>
      <c r="D20" s="80"/>
      <c r="E20" s="80"/>
      <c r="F20" s="80"/>
      <c r="G20" s="80"/>
      <c r="H20" s="80"/>
      <c r="I20" s="14"/>
      <c r="J20" s="83"/>
      <c r="K20" s="14"/>
    </row>
    <row r="21" spans="2:11" x14ac:dyDescent="0.3">
      <c r="B21" s="80"/>
      <c r="C21" s="80"/>
      <c r="D21" s="80"/>
      <c r="E21" s="80"/>
      <c r="F21" s="80"/>
      <c r="G21" s="80"/>
      <c r="H21" s="80"/>
      <c r="I21" s="14"/>
      <c r="J21" s="91"/>
      <c r="K21" s="14"/>
    </row>
    <row r="22" spans="2:11" x14ac:dyDescent="0.3">
      <c r="B22" s="80"/>
      <c r="C22" s="80"/>
      <c r="D22" s="80"/>
      <c r="E22" s="80"/>
      <c r="F22" s="80"/>
      <c r="G22" s="80"/>
      <c r="H22" s="80"/>
      <c r="I22" s="14"/>
      <c r="J22" s="14"/>
      <c r="K22" s="14"/>
    </row>
    <row r="23" spans="2:11" x14ac:dyDescent="0.3">
      <c r="B23" s="80"/>
      <c r="C23" s="80"/>
      <c r="D23" s="80"/>
      <c r="E23" s="80"/>
      <c r="F23" s="80"/>
      <c r="G23" s="80"/>
      <c r="H23" s="80"/>
      <c r="I23" s="14"/>
      <c r="J23" s="14"/>
      <c r="K23" s="14"/>
    </row>
    <row r="24" spans="2:11" x14ac:dyDescent="0.3">
      <c r="B24" s="80"/>
      <c r="C24" s="80"/>
      <c r="D24" s="80"/>
      <c r="E24" s="80"/>
      <c r="F24" s="80"/>
      <c r="G24" s="80"/>
      <c r="H24" s="80"/>
      <c r="I24" s="14"/>
      <c r="J24" s="87"/>
      <c r="K24" s="14"/>
    </row>
    <row r="25" spans="2:11" x14ac:dyDescent="0.3">
      <c r="B25" s="80"/>
      <c r="C25" s="80"/>
      <c r="D25" s="80"/>
      <c r="E25" s="80"/>
      <c r="F25" s="80"/>
      <c r="G25" s="80"/>
      <c r="H25" s="80"/>
      <c r="I25" s="14"/>
      <c r="J25" s="14"/>
      <c r="K25" s="14"/>
    </row>
    <row r="27" spans="2:11" x14ac:dyDescent="0.3">
      <c r="H27" s="2" t="s">
        <v>223</v>
      </c>
    </row>
  </sheetData>
  <hyperlinks>
    <hyperlink ref="A1" location="Menu!A1" display="Menu"/>
    <hyperlink ref="H27" location="'Carrier Service Port'!A1" display="back to list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985" r:id="rId3" name="Drop Down 1">
              <controlPr defaultSize="0" autoLine="0" autoPict="0">
                <anchor moveWithCells="1">
                  <from>
                    <xdr:col>4</xdr:col>
                    <xdr:colOff>7620</xdr:colOff>
                    <xdr:row>5</xdr:row>
                    <xdr:rowOff>15240</xdr:rowOff>
                  </from>
                  <to>
                    <xdr:col>4</xdr:col>
                    <xdr:colOff>1348740</xdr:colOff>
                    <xdr:row>5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86" r:id="rId4" name="Drop Down 2">
              <controlPr defaultSize="0" autoLine="0" autoPict="0">
                <anchor moveWithCells="1">
                  <from>
                    <xdr:col>5</xdr:col>
                    <xdr:colOff>7620</xdr:colOff>
                    <xdr:row>5</xdr:row>
                    <xdr:rowOff>7620</xdr:rowOff>
                  </from>
                  <to>
                    <xdr:col>5</xdr:col>
                    <xdr:colOff>1188720</xdr:colOff>
                    <xdr:row>5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87" r:id="rId5" name="Drop Down 3">
              <controlPr defaultSize="0" autoLine="0" autoPict="0">
                <anchor moveWithCells="1">
                  <from>
                    <xdr:col>1</xdr:col>
                    <xdr:colOff>594360</xdr:colOff>
                    <xdr:row>5</xdr:row>
                    <xdr:rowOff>0</xdr:rowOff>
                  </from>
                  <to>
                    <xdr:col>2</xdr:col>
                    <xdr:colOff>1028700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88" r:id="rId6" name="Drop Down 4">
              <controlPr defaultSize="0" autoLine="0" autoPict="0">
                <anchor moveWithCells="1">
                  <from>
                    <xdr:col>3</xdr:col>
                    <xdr:colOff>0</xdr:colOff>
                    <xdr:row>4</xdr:row>
                    <xdr:rowOff>175260</xdr:rowOff>
                  </from>
                  <to>
                    <xdr:col>3</xdr:col>
                    <xdr:colOff>1043940</xdr:colOff>
                    <xdr:row>6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5"/>
  <sheetViews>
    <sheetView showGridLines="0" workbookViewId="0"/>
  </sheetViews>
  <sheetFormatPr defaultRowHeight="14.4" x14ac:dyDescent="0.3"/>
  <cols>
    <col min="2" max="2" width="5.5546875" customWidth="1"/>
    <col min="3" max="3" width="14.88671875" customWidth="1"/>
    <col min="4" max="5" width="16.44140625" customWidth="1"/>
    <col min="6" max="6" width="23.77734375" customWidth="1"/>
    <col min="7" max="7" width="15.6640625" customWidth="1"/>
    <col min="8" max="8" width="15.109375" customWidth="1"/>
    <col min="9" max="11" width="14.33203125" customWidth="1"/>
    <col min="12" max="12" width="22" bestFit="1" customWidth="1"/>
    <col min="15" max="15" width="24.21875" bestFit="1" customWidth="1"/>
  </cols>
  <sheetData>
    <row r="1" spans="1:15" x14ac:dyDescent="0.3">
      <c r="A1" s="2" t="s">
        <v>33</v>
      </c>
    </row>
    <row r="2" spans="1:15" x14ac:dyDescent="0.3">
      <c r="I2" s="110" t="s">
        <v>97</v>
      </c>
      <c r="J2" s="110"/>
      <c r="K2" s="110"/>
    </row>
    <row r="3" spans="1:15" x14ac:dyDescent="0.3">
      <c r="I3" s="110" t="s">
        <v>201</v>
      </c>
      <c r="J3" s="110"/>
      <c r="K3" s="110"/>
    </row>
    <row r="4" spans="1:15" x14ac:dyDescent="0.3">
      <c r="J4" s="145" t="s">
        <v>480</v>
      </c>
    </row>
    <row r="7" spans="1:15" x14ac:dyDescent="0.3">
      <c r="C7" s="93" t="s">
        <v>168</v>
      </c>
      <c r="D7" s="93" t="s">
        <v>169</v>
      </c>
      <c r="E7" s="93" t="s">
        <v>128</v>
      </c>
      <c r="F7" s="93" t="s">
        <v>195</v>
      </c>
      <c r="G7" s="93" t="s">
        <v>207</v>
      </c>
      <c r="H7" s="93" t="s">
        <v>197</v>
      </c>
      <c r="I7" s="93" t="s">
        <v>198</v>
      </c>
      <c r="J7" s="93" t="s">
        <v>479</v>
      </c>
      <c r="K7" s="93" t="s">
        <v>146</v>
      </c>
    </row>
    <row r="8" spans="1:15" x14ac:dyDescent="0.3">
      <c r="C8" s="3"/>
      <c r="D8" s="3"/>
      <c r="E8" s="3"/>
      <c r="F8" s="3"/>
      <c r="G8" s="3"/>
      <c r="H8" s="3"/>
      <c r="I8" s="3"/>
      <c r="J8" s="3"/>
      <c r="K8" s="3"/>
      <c r="L8" s="94" t="s">
        <v>44</v>
      </c>
    </row>
    <row r="11" spans="1:15" x14ac:dyDescent="0.3">
      <c r="L11" s="352" t="s">
        <v>123</v>
      </c>
      <c r="M11" s="352"/>
    </row>
    <row r="12" spans="1:15" x14ac:dyDescent="0.3">
      <c r="B12" s="96" t="s">
        <v>148</v>
      </c>
      <c r="C12" s="96" t="s">
        <v>168</v>
      </c>
      <c r="D12" s="96" t="s">
        <v>169</v>
      </c>
      <c r="E12" s="96" t="s">
        <v>128</v>
      </c>
      <c r="F12" s="96" t="s">
        <v>195</v>
      </c>
      <c r="G12" s="96" t="s">
        <v>196</v>
      </c>
      <c r="H12" s="96" t="s">
        <v>197</v>
      </c>
      <c r="I12" s="95" t="s">
        <v>198</v>
      </c>
      <c r="J12" s="93" t="s">
        <v>479</v>
      </c>
      <c r="K12" s="93" t="s">
        <v>146</v>
      </c>
      <c r="L12" s="380" t="s">
        <v>118</v>
      </c>
      <c r="M12" s="381"/>
      <c r="O12" s="3" t="s">
        <v>202</v>
      </c>
    </row>
    <row r="13" spans="1:15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 t="s">
        <v>253</v>
      </c>
      <c r="M13" s="109" t="s">
        <v>344</v>
      </c>
      <c r="O13" s="71" t="s">
        <v>203</v>
      </c>
    </row>
    <row r="14" spans="1:15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 s="71" t="s">
        <v>204</v>
      </c>
    </row>
    <row r="15" spans="1:15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O15" s="71" t="s">
        <v>205</v>
      </c>
    </row>
    <row r="16" spans="1:15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71" t="s">
        <v>206</v>
      </c>
    </row>
    <row r="17" spans="2:15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71" t="s">
        <v>208</v>
      </c>
    </row>
    <row r="18" spans="2:15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71" t="s">
        <v>209</v>
      </c>
    </row>
    <row r="19" spans="2:15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O19" s="71" t="s">
        <v>211</v>
      </c>
    </row>
    <row r="20" spans="2:15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72" t="s">
        <v>210</v>
      </c>
    </row>
    <row r="21" spans="2:15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2:15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2:15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2:15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2:15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</sheetData>
  <mergeCells count="2">
    <mergeCell ref="L11:M11"/>
    <mergeCell ref="L12:M12"/>
  </mergeCells>
  <hyperlinks>
    <hyperlink ref="A1" location="Menu!A1" display="menu"/>
    <hyperlink ref="M13" location="Vendor_Contact_Person!A1" display="Add PIC |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601" r:id="rId3" name="Drop Down 1">
              <controlPr defaultSize="0" autoLine="0" autoPict="0">
                <anchor moveWithCells="1">
                  <from>
                    <xdr:col>4</xdr:col>
                    <xdr:colOff>22860</xdr:colOff>
                    <xdr:row>7</xdr:row>
                    <xdr:rowOff>15240</xdr:rowOff>
                  </from>
                  <to>
                    <xdr:col>4</xdr:col>
                    <xdr:colOff>1120140</xdr:colOff>
                    <xdr:row>7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2" r:id="rId4" name="Drop Down 2">
              <controlPr defaultSize="0" autoLine="0" autoPict="0">
                <anchor moveWithCells="1">
                  <from>
                    <xdr:col>10</xdr:col>
                    <xdr:colOff>22860</xdr:colOff>
                    <xdr:row>7</xdr:row>
                    <xdr:rowOff>22860</xdr:rowOff>
                  </from>
                  <to>
                    <xdr:col>10</xdr:col>
                    <xdr:colOff>960120</xdr:colOff>
                    <xdr:row>7</xdr:row>
                    <xdr:rowOff>167640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showGridLines="0" workbookViewId="0">
      <selection activeCell="H26" sqref="H26"/>
    </sheetView>
  </sheetViews>
  <sheetFormatPr defaultRowHeight="14.4" x14ac:dyDescent="0.3"/>
  <cols>
    <col min="3" max="3" width="19" bestFit="1" customWidth="1"/>
    <col min="4" max="7" width="19" customWidth="1"/>
    <col min="8" max="8" width="12.33203125" bestFit="1" customWidth="1"/>
    <col min="10" max="10" width="24.21875" bestFit="1" customWidth="1"/>
  </cols>
  <sheetData>
    <row r="1" spans="1:10" x14ac:dyDescent="0.3">
      <c r="A1" s="2" t="s">
        <v>33</v>
      </c>
      <c r="B1" s="2"/>
    </row>
    <row r="7" spans="1:10" x14ac:dyDescent="0.3">
      <c r="C7" s="93" t="s">
        <v>218</v>
      </c>
      <c r="D7" s="93" t="s">
        <v>212</v>
      </c>
      <c r="E7" s="93" t="s">
        <v>171</v>
      </c>
      <c r="F7" s="93" t="s">
        <v>199</v>
      </c>
      <c r="G7" s="93" t="s">
        <v>200</v>
      </c>
    </row>
    <row r="8" spans="1:10" x14ac:dyDescent="0.3">
      <c r="C8" s="3"/>
      <c r="D8" s="3"/>
      <c r="E8" s="3"/>
      <c r="F8" s="3"/>
      <c r="G8" s="3"/>
      <c r="H8" s="94" t="s">
        <v>44</v>
      </c>
    </row>
    <row r="12" spans="1:10" x14ac:dyDescent="0.3">
      <c r="B12" s="93" t="s">
        <v>152</v>
      </c>
      <c r="C12" s="96" t="s">
        <v>218</v>
      </c>
      <c r="D12" s="93" t="s">
        <v>212</v>
      </c>
      <c r="E12" s="93" t="s">
        <v>171</v>
      </c>
      <c r="F12" s="96" t="s">
        <v>199</v>
      </c>
      <c r="G12" s="96" t="s">
        <v>200</v>
      </c>
      <c r="H12" s="95" t="s">
        <v>118</v>
      </c>
    </row>
    <row r="13" spans="1:10" x14ac:dyDescent="0.3">
      <c r="B13" s="3"/>
      <c r="C13" s="3"/>
      <c r="D13" s="3"/>
      <c r="E13" s="3"/>
      <c r="F13" s="3"/>
      <c r="G13" s="3"/>
      <c r="H13" s="3" t="s">
        <v>133</v>
      </c>
      <c r="J13" s="3" t="s">
        <v>202</v>
      </c>
    </row>
    <row r="14" spans="1:10" x14ac:dyDescent="0.3">
      <c r="B14" s="3"/>
      <c r="C14" s="3"/>
      <c r="D14" s="3"/>
      <c r="E14" s="3"/>
      <c r="F14" s="3"/>
      <c r="G14" s="3"/>
      <c r="H14" s="3"/>
      <c r="J14" s="71" t="s">
        <v>203</v>
      </c>
    </row>
    <row r="15" spans="1:10" x14ac:dyDescent="0.3">
      <c r="B15" s="3"/>
      <c r="C15" s="3"/>
      <c r="D15" s="3"/>
      <c r="E15" s="3"/>
      <c r="F15" s="3"/>
      <c r="G15" s="3"/>
      <c r="H15" s="3"/>
      <c r="J15" s="71" t="s">
        <v>219</v>
      </c>
    </row>
    <row r="16" spans="1:10" x14ac:dyDescent="0.3">
      <c r="B16" s="3"/>
      <c r="C16" s="3"/>
      <c r="D16" s="3"/>
      <c r="E16" s="3"/>
      <c r="F16" s="3"/>
      <c r="G16" s="3"/>
      <c r="H16" s="3"/>
      <c r="J16" s="71" t="s">
        <v>213</v>
      </c>
    </row>
    <row r="17" spans="2:10" x14ac:dyDescent="0.3">
      <c r="B17" s="3"/>
      <c r="C17" s="3"/>
      <c r="D17" s="3"/>
      <c r="E17" s="3"/>
      <c r="F17" s="3"/>
      <c r="G17" s="3"/>
      <c r="H17" s="3"/>
      <c r="J17" s="71" t="s">
        <v>214</v>
      </c>
    </row>
    <row r="18" spans="2:10" x14ac:dyDescent="0.3">
      <c r="B18" s="3"/>
      <c r="C18" s="3"/>
      <c r="D18" s="3"/>
      <c r="E18" s="3"/>
      <c r="F18" s="3"/>
      <c r="G18" s="3"/>
      <c r="H18" s="3"/>
      <c r="J18" s="71" t="s">
        <v>215</v>
      </c>
    </row>
    <row r="19" spans="2:10" x14ac:dyDescent="0.3">
      <c r="B19" s="3"/>
      <c r="C19" s="3"/>
      <c r="D19" s="3"/>
      <c r="E19" s="3"/>
      <c r="F19" s="3"/>
      <c r="G19" s="3"/>
      <c r="H19" s="3"/>
      <c r="J19" s="71" t="s">
        <v>216</v>
      </c>
    </row>
    <row r="20" spans="2:10" x14ac:dyDescent="0.3">
      <c r="B20" s="3"/>
      <c r="C20" s="3"/>
      <c r="D20" s="3"/>
      <c r="E20" s="3"/>
      <c r="F20" s="3"/>
      <c r="G20" s="3"/>
      <c r="H20" s="3"/>
      <c r="J20" s="71" t="s">
        <v>217</v>
      </c>
    </row>
    <row r="21" spans="2:10" x14ac:dyDescent="0.3">
      <c r="B21" s="3"/>
      <c r="C21" s="3"/>
      <c r="D21" s="3"/>
      <c r="E21" s="3"/>
      <c r="F21" s="3"/>
      <c r="G21" s="3"/>
      <c r="H21" s="3"/>
      <c r="J21" s="72"/>
    </row>
    <row r="22" spans="2:10" x14ac:dyDescent="0.3">
      <c r="B22" s="3"/>
      <c r="C22" s="3"/>
      <c r="D22" s="3"/>
      <c r="E22" s="3"/>
      <c r="F22" s="3"/>
      <c r="G22" s="3"/>
      <c r="H22" s="3"/>
    </row>
    <row r="23" spans="2:10" x14ac:dyDescent="0.3">
      <c r="B23" s="3"/>
      <c r="C23" s="3"/>
      <c r="D23" s="3"/>
      <c r="E23" s="3"/>
      <c r="F23" s="3"/>
      <c r="G23" s="3"/>
      <c r="H23" s="3"/>
    </row>
    <row r="24" spans="2:10" x14ac:dyDescent="0.3">
      <c r="B24" s="3"/>
      <c r="C24" s="3"/>
      <c r="D24" s="3"/>
      <c r="E24" s="3"/>
      <c r="F24" s="3"/>
      <c r="G24" s="3"/>
      <c r="H24" s="3"/>
    </row>
    <row r="25" spans="2:10" x14ac:dyDescent="0.3">
      <c r="B25" s="3"/>
      <c r="C25" s="3"/>
      <c r="D25" s="3"/>
      <c r="E25" s="3"/>
      <c r="F25" s="3"/>
      <c r="G25" s="3"/>
      <c r="H25" s="3"/>
    </row>
    <row r="26" spans="2:10" x14ac:dyDescent="0.3">
      <c r="H26" s="97" t="s">
        <v>176</v>
      </c>
    </row>
  </sheetData>
  <hyperlinks>
    <hyperlink ref="A1" location="Menu!A1" display="menu"/>
    <hyperlink ref="H26" location="Vendor!A1" display="Back to list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3"/>
  <sheetViews>
    <sheetView showGridLines="0" workbookViewId="0"/>
  </sheetViews>
  <sheetFormatPr defaultRowHeight="14.4" x14ac:dyDescent="0.3"/>
  <cols>
    <col min="3" max="3" width="23.44140625" bestFit="1" customWidth="1"/>
    <col min="4" max="4" width="23.5546875" bestFit="1" customWidth="1"/>
    <col min="7" max="7" width="27.44140625" bestFit="1" customWidth="1"/>
  </cols>
  <sheetData>
    <row r="1" spans="1:7" x14ac:dyDescent="0.3">
      <c r="A1" s="2" t="s">
        <v>119</v>
      </c>
    </row>
    <row r="6" spans="1:7" x14ac:dyDescent="0.3">
      <c r="C6" t="s">
        <v>346</v>
      </c>
    </row>
    <row r="7" spans="1:7" x14ac:dyDescent="0.3">
      <c r="C7" s="3" t="s">
        <v>345</v>
      </c>
    </row>
    <row r="9" spans="1:7" x14ac:dyDescent="0.3">
      <c r="B9" s="92" t="s">
        <v>131</v>
      </c>
      <c r="C9" s="92" t="s">
        <v>347</v>
      </c>
      <c r="D9" s="382" t="s">
        <v>118</v>
      </c>
      <c r="E9" s="382"/>
    </row>
    <row r="10" spans="1:7" x14ac:dyDescent="0.3">
      <c r="B10" s="3"/>
      <c r="C10" s="3" t="s">
        <v>345</v>
      </c>
      <c r="D10" s="3" t="s">
        <v>253</v>
      </c>
      <c r="E10" s="109" t="s">
        <v>350</v>
      </c>
      <c r="G10" s="6" t="s">
        <v>224</v>
      </c>
    </row>
    <row r="11" spans="1:7" x14ac:dyDescent="0.3">
      <c r="B11" s="3"/>
      <c r="C11" s="3"/>
      <c r="D11" s="3" t="s">
        <v>253</v>
      </c>
      <c r="E11" s="3" t="s">
        <v>350</v>
      </c>
      <c r="G11" s="3" t="s">
        <v>348</v>
      </c>
    </row>
    <row r="12" spans="1:7" x14ac:dyDescent="0.3">
      <c r="B12" s="3"/>
      <c r="C12" s="3"/>
      <c r="D12" s="3" t="s">
        <v>253</v>
      </c>
      <c r="E12" s="3" t="s">
        <v>350</v>
      </c>
      <c r="G12" s="3" t="s">
        <v>349</v>
      </c>
    </row>
    <row r="13" spans="1:7" x14ac:dyDescent="0.3">
      <c r="B13" s="3"/>
      <c r="C13" s="3"/>
      <c r="D13" s="3" t="s">
        <v>253</v>
      </c>
      <c r="E13" s="3" t="s">
        <v>350</v>
      </c>
    </row>
    <row r="14" spans="1:7" x14ac:dyDescent="0.3">
      <c r="B14" s="3"/>
      <c r="C14" s="3"/>
      <c r="D14" s="3" t="s">
        <v>253</v>
      </c>
      <c r="E14" s="3" t="s">
        <v>350</v>
      </c>
    </row>
    <row r="15" spans="1:7" x14ac:dyDescent="0.3">
      <c r="B15" s="3"/>
      <c r="C15" s="3"/>
      <c r="D15" s="3" t="s">
        <v>253</v>
      </c>
      <c r="E15" s="3" t="s">
        <v>350</v>
      </c>
    </row>
    <row r="16" spans="1:7" x14ac:dyDescent="0.3">
      <c r="B16" s="3"/>
      <c r="C16" s="3"/>
      <c r="D16" s="3" t="s">
        <v>253</v>
      </c>
      <c r="E16" s="3" t="s">
        <v>350</v>
      </c>
    </row>
    <row r="17" spans="2:5" x14ac:dyDescent="0.3">
      <c r="B17" s="3"/>
      <c r="C17" s="3"/>
      <c r="D17" s="3" t="s">
        <v>253</v>
      </c>
      <c r="E17" s="3" t="s">
        <v>350</v>
      </c>
    </row>
    <row r="18" spans="2:5" x14ac:dyDescent="0.3">
      <c r="B18" s="3"/>
      <c r="C18" s="3"/>
      <c r="D18" s="3" t="s">
        <v>253</v>
      </c>
      <c r="E18" s="3" t="s">
        <v>350</v>
      </c>
    </row>
    <row r="19" spans="2:5" x14ac:dyDescent="0.3">
      <c r="B19" s="3"/>
      <c r="C19" s="3"/>
      <c r="D19" s="3" t="s">
        <v>253</v>
      </c>
      <c r="E19" s="3" t="s">
        <v>350</v>
      </c>
    </row>
    <row r="20" spans="2:5" x14ac:dyDescent="0.3">
      <c r="B20" s="3"/>
      <c r="C20" s="3"/>
      <c r="D20" s="3" t="s">
        <v>253</v>
      </c>
      <c r="E20" s="3" t="s">
        <v>350</v>
      </c>
    </row>
    <row r="21" spans="2:5" x14ac:dyDescent="0.3">
      <c r="B21" s="3"/>
      <c r="C21" s="3"/>
      <c r="D21" s="3" t="s">
        <v>253</v>
      </c>
      <c r="E21" s="3" t="s">
        <v>350</v>
      </c>
    </row>
    <row r="22" spans="2:5" x14ac:dyDescent="0.3">
      <c r="B22" s="3"/>
      <c r="C22" s="3"/>
      <c r="D22" s="3" t="s">
        <v>253</v>
      </c>
      <c r="E22" s="3" t="s">
        <v>350</v>
      </c>
    </row>
    <row r="23" spans="2:5" x14ac:dyDescent="0.3">
      <c r="B23" s="3"/>
      <c r="C23" s="3"/>
      <c r="D23" s="3" t="s">
        <v>253</v>
      </c>
      <c r="E23" s="3" t="s">
        <v>350</v>
      </c>
    </row>
  </sheetData>
  <mergeCells count="1">
    <mergeCell ref="D9:E9"/>
  </mergeCells>
  <hyperlinks>
    <hyperlink ref="A1" location="Menu!A1" display="Menu"/>
    <hyperlink ref="E10" location="Commodity_Catagory_Item_List!A1" display="ADD Item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697" r:id="rId3" name="Button 1">
              <controlPr defaultSize="0" print="0" autoFill="0" autoPict="0" macro="[0]!ADD">
                <anchor moveWithCells="1">
                  <from>
                    <xdr:col>3</xdr:col>
                    <xdr:colOff>411480</xdr:colOff>
                    <xdr:row>5</xdr:row>
                    <xdr:rowOff>144780</xdr:rowOff>
                  </from>
                  <to>
                    <xdr:col>3</xdr:col>
                    <xdr:colOff>929640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4"/>
  <sheetViews>
    <sheetView showGridLines="0" workbookViewId="0"/>
  </sheetViews>
  <sheetFormatPr defaultRowHeight="14.4" x14ac:dyDescent="0.3"/>
  <cols>
    <col min="3" max="3" width="23.44140625" bestFit="1" customWidth="1"/>
    <col min="4" max="4" width="23.5546875" bestFit="1" customWidth="1"/>
    <col min="5" max="5" width="13.77734375" bestFit="1" customWidth="1"/>
    <col min="7" max="7" width="28.21875" bestFit="1" customWidth="1"/>
  </cols>
  <sheetData>
    <row r="1" spans="1:7" x14ac:dyDescent="0.3">
      <c r="A1" s="2" t="s">
        <v>119</v>
      </c>
    </row>
    <row r="6" spans="1:7" x14ac:dyDescent="0.3">
      <c r="C6" s="92" t="s">
        <v>221</v>
      </c>
      <c r="D6" s="92" t="s">
        <v>94</v>
      </c>
    </row>
    <row r="7" spans="1:7" x14ac:dyDescent="0.3">
      <c r="C7" s="3"/>
      <c r="D7" s="3"/>
    </row>
    <row r="9" spans="1:7" x14ac:dyDescent="0.3">
      <c r="B9" s="92" t="s">
        <v>131</v>
      </c>
      <c r="C9" s="92" t="s">
        <v>221</v>
      </c>
      <c r="D9" s="92" t="s">
        <v>94</v>
      </c>
      <c r="E9" s="92" t="s">
        <v>118</v>
      </c>
    </row>
    <row r="10" spans="1:7" x14ac:dyDescent="0.3">
      <c r="B10" s="3"/>
      <c r="C10" s="3"/>
      <c r="D10" s="3"/>
      <c r="E10" s="3" t="s">
        <v>222</v>
      </c>
      <c r="G10" s="90" t="s">
        <v>351</v>
      </c>
    </row>
    <row r="11" spans="1:7" x14ac:dyDescent="0.3">
      <c r="B11" s="3"/>
      <c r="C11" s="3"/>
      <c r="D11" s="3"/>
      <c r="E11" s="3" t="s">
        <v>222</v>
      </c>
      <c r="G11" s="38" t="s">
        <v>348</v>
      </c>
    </row>
    <row r="12" spans="1:7" x14ac:dyDescent="0.3">
      <c r="B12" s="3"/>
      <c r="C12" s="3"/>
      <c r="D12" s="3"/>
      <c r="E12" s="3" t="s">
        <v>222</v>
      </c>
      <c r="G12" s="71" t="s">
        <v>225</v>
      </c>
    </row>
    <row r="13" spans="1:7" x14ac:dyDescent="0.3">
      <c r="B13" s="3"/>
      <c r="C13" s="3"/>
      <c r="D13" s="3"/>
      <c r="E13" s="3" t="s">
        <v>222</v>
      </c>
      <c r="G13" s="71" t="s">
        <v>226</v>
      </c>
    </row>
    <row r="14" spans="1:7" x14ac:dyDescent="0.3">
      <c r="B14" s="3"/>
      <c r="C14" s="3"/>
      <c r="D14" s="3"/>
      <c r="E14" s="3" t="s">
        <v>222</v>
      </c>
      <c r="G14" s="91" t="s">
        <v>227</v>
      </c>
    </row>
    <row r="15" spans="1:7" x14ac:dyDescent="0.3">
      <c r="B15" s="3"/>
      <c r="C15" s="3"/>
      <c r="D15" s="3"/>
      <c r="E15" s="3" t="s">
        <v>222</v>
      </c>
    </row>
    <row r="16" spans="1:7" x14ac:dyDescent="0.3">
      <c r="B16" s="3"/>
      <c r="C16" s="3"/>
      <c r="D16" s="3"/>
      <c r="E16" s="3" t="s">
        <v>222</v>
      </c>
    </row>
    <row r="17" spans="2:5" x14ac:dyDescent="0.3">
      <c r="B17" s="3"/>
      <c r="C17" s="3"/>
      <c r="D17" s="3"/>
      <c r="E17" s="3" t="s">
        <v>222</v>
      </c>
    </row>
    <row r="18" spans="2:5" x14ac:dyDescent="0.3">
      <c r="B18" s="3"/>
      <c r="C18" s="3"/>
      <c r="D18" s="3"/>
      <c r="E18" s="3" t="s">
        <v>222</v>
      </c>
    </row>
    <row r="19" spans="2:5" x14ac:dyDescent="0.3">
      <c r="B19" s="3"/>
      <c r="C19" s="3"/>
      <c r="D19" s="3"/>
      <c r="E19" s="3" t="s">
        <v>222</v>
      </c>
    </row>
    <row r="20" spans="2:5" x14ac:dyDescent="0.3">
      <c r="B20" s="3"/>
      <c r="C20" s="3"/>
      <c r="D20" s="3"/>
      <c r="E20" s="3" t="s">
        <v>222</v>
      </c>
    </row>
    <row r="21" spans="2:5" x14ac:dyDescent="0.3">
      <c r="B21" s="3"/>
      <c r="C21" s="3"/>
      <c r="D21" s="3"/>
      <c r="E21" s="3" t="s">
        <v>222</v>
      </c>
    </row>
    <row r="22" spans="2:5" x14ac:dyDescent="0.3">
      <c r="B22" s="3"/>
      <c r="C22" s="3"/>
      <c r="D22" s="3"/>
      <c r="E22" s="3" t="s">
        <v>222</v>
      </c>
    </row>
    <row r="23" spans="2:5" x14ac:dyDescent="0.3">
      <c r="B23" s="3"/>
      <c r="C23" s="3"/>
      <c r="D23" s="3"/>
      <c r="E23" s="3" t="s">
        <v>222</v>
      </c>
    </row>
    <row r="24" spans="2:5" x14ac:dyDescent="0.3">
      <c r="E24" s="98" t="s">
        <v>223</v>
      </c>
    </row>
  </sheetData>
  <hyperlinks>
    <hyperlink ref="A1" location="Menu!A1" display="Menu"/>
    <hyperlink ref="E24" location="Commodity_Catagory!A1" display="back to list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21" r:id="rId3" name="Button 1">
              <controlPr defaultSize="0" print="0" autoFill="0" autoPict="0" macro="[0]!ADD">
                <anchor moveWithCells="1">
                  <from>
                    <xdr:col>4</xdr:col>
                    <xdr:colOff>198120</xdr:colOff>
                    <xdr:row>5</xdr:row>
                    <xdr:rowOff>167640</xdr:rowOff>
                  </from>
                  <to>
                    <xdr:col>4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0"/>
  <sheetViews>
    <sheetView showGridLines="0" workbookViewId="0"/>
  </sheetViews>
  <sheetFormatPr defaultRowHeight="14.4" x14ac:dyDescent="0.3"/>
  <cols>
    <col min="3" max="4" width="16.109375" customWidth="1"/>
    <col min="5" max="5" width="23.109375" customWidth="1"/>
    <col min="6" max="6" width="15.6640625" bestFit="1" customWidth="1"/>
    <col min="7" max="7" width="18.44140625" bestFit="1" customWidth="1"/>
    <col min="8" max="8" width="18.44140625" customWidth="1"/>
    <col min="9" max="9" width="14.109375" customWidth="1"/>
    <col min="10" max="10" width="13.44140625" customWidth="1"/>
    <col min="11" max="11" width="14.44140625" customWidth="1"/>
    <col min="12" max="14" width="12" customWidth="1"/>
    <col min="15" max="15" width="22.44140625" bestFit="1" customWidth="1"/>
    <col min="16" max="16" width="9.44140625" bestFit="1" customWidth="1"/>
    <col min="18" max="18" width="28.109375" bestFit="1" customWidth="1"/>
  </cols>
  <sheetData>
    <row r="1" spans="1:18" x14ac:dyDescent="0.3">
      <c r="A1" s="2" t="s">
        <v>119</v>
      </c>
    </row>
    <row r="5" spans="1:18" x14ac:dyDescent="0.3">
      <c r="O5" s="383" t="s">
        <v>55</v>
      </c>
      <c r="P5" s="384"/>
    </row>
    <row r="6" spans="1:18" ht="43.2" x14ac:dyDescent="0.3">
      <c r="B6" s="92" t="s">
        <v>131</v>
      </c>
      <c r="C6" s="92" t="s">
        <v>229</v>
      </c>
      <c r="D6" s="92" t="s">
        <v>128</v>
      </c>
      <c r="E6" s="92" t="s">
        <v>169</v>
      </c>
      <c r="F6" s="92" t="s">
        <v>230</v>
      </c>
      <c r="G6" s="92" t="s">
        <v>232</v>
      </c>
      <c r="H6" s="92" t="s">
        <v>262</v>
      </c>
      <c r="I6" s="101" t="s">
        <v>233</v>
      </c>
      <c r="J6" s="101" t="s">
        <v>243</v>
      </c>
      <c r="K6" s="101" t="s">
        <v>244</v>
      </c>
      <c r="L6" s="101" t="s">
        <v>234</v>
      </c>
      <c r="M6" s="101" t="s">
        <v>479</v>
      </c>
      <c r="N6" s="101" t="s">
        <v>146</v>
      </c>
      <c r="O6" s="92" t="s">
        <v>118</v>
      </c>
      <c r="P6" s="111"/>
    </row>
    <row r="7" spans="1:18" x14ac:dyDescent="0.3">
      <c r="B7" s="3"/>
      <c r="C7" s="3" t="s">
        <v>929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80" t="s">
        <v>253</v>
      </c>
      <c r="P7" s="87" t="s">
        <v>353</v>
      </c>
      <c r="R7" s="3" t="s">
        <v>235</v>
      </c>
    </row>
    <row r="8" spans="1:18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4" t="s">
        <v>353</v>
      </c>
      <c r="R8" s="71" t="s">
        <v>236</v>
      </c>
    </row>
    <row r="9" spans="1:18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4" t="s">
        <v>353</v>
      </c>
      <c r="R9" s="71" t="s">
        <v>245</v>
      </c>
    </row>
    <row r="10" spans="1:18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4" t="s">
        <v>353</v>
      </c>
      <c r="R10" s="72" t="s">
        <v>246</v>
      </c>
    </row>
    <row r="13" spans="1:18" x14ac:dyDescent="0.3">
      <c r="C13" s="73" t="s">
        <v>922</v>
      </c>
      <c r="J13" s="145" t="s">
        <v>480</v>
      </c>
    </row>
    <row r="14" spans="1:18" x14ac:dyDescent="0.3">
      <c r="C14" s="3" t="s">
        <v>923</v>
      </c>
      <c r="D14" s="3" t="s">
        <v>924</v>
      </c>
      <c r="E14" s="3" t="s">
        <v>925</v>
      </c>
      <c r="F14" s="3" t="s">
        <v>926</v>
      </c>
      <c r="G14" s="3" t="s">
        <v>928</v>
      </c>
      <c r="H14" s="3" t="s">
        <v>927</v>
      </c>
    </row>
    <row r="15" spans="1:18" x14ac:dyDescent="0.3">
      <c r="C15" s="3"/>
      <c r="D15" s="3"/>
      <c r="E15" s="3"/>
      <c r="F15" s="3"/>
      <c r="G15" s="3"/>
      <c r="H15" s="3"/>
      <c r="I15" s="54" t="s">
        <v>930</v>
      </c>
    </row>
    <row r="17" spans="3:8" x14ac:dyDescent="0.3">
      <c r="C17" s="3" t="s">
        <v>923</v>
      </c>
      <c r="D17" s="3" t="s">
        <v>924</v>
      </c>
      <c r="E17" s="3" t="s">
        <v>925</v>
      </c>
      <c r="F17" s="3" t="s">
        <v>926</v>
      </c>
      <c r="G17" s="3" t="s">
        <v>928</v>
      </c>
      <c r="H17" s="3" t="s">
        <v>927</v>
      </c>
    </row>
    <row r="18" spans="3:8" x14ac:dyDescent="0.3">
      <c r="C18" s="3"/>
      <c r="D18" s="3"/>
      <c r="E18" s="3"/>
      <c r="F18" s="3"/>
      <c r="G18" s="3"/>
      <c r="H18" s="3"/>
    </row>
    <row r="19" spans="3:8" x14ac:dyDescent="0.3">
      <c r="C19" s="3"/>
      <c r="D19" s="3"/>
      <c r="E19" s="3"/>
      <c r="F19" s="3"/>
      <c r="G19" s="3"/>
      <c r="H19" s="3"/>
    </row>
    <row r="20" spans="3:8" x14ac:dyDescent="0.3">
      <c r="C20" s="3"/>
      <c r="D20" s="3"/>
      <c r="E20" s="3"/>
      <c r="F20" s="3"/>
      <c r="G20" s="3"/>
      <c r="H20" s="3"/>
    </row>
  </sheetData>
  <mergeCells count="1">
    <mergeCell ref="O5:P5"/>
  </mergeCells>
  <hyperlinks>
    <hyperlink ref="A1" location="Menu!A1" display="Menu"/>
    <hyperlink ref="P7" location="Customer_PIC!A1" display=" ADD PIC |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0161" r:id="rId4" name="Drop Down 1">
              <controlPr defaultSize="0" autoLine="0" autoPict="0">
                <anchor moveWithCells="1">
                  <from>
                    <xdr:col>5</xdr:col>
                    <xdr:colOff>0</xdr:colOff>
                    <xdr:row>4</xdr:row>
                    <xdr:rowOff>0</xdr:rowOff>
                  </from>
                  <to>
                    <xdr:col>5</xdr:col>
                    <xdr:colOff>914400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62" r:id="rId5" name="Drop Down 2">
              <controlPr defaultSize="0" autoLine="0" autoPict="0">
                <anchor moveWithCells="1">
                  <from>
                    <xdr:col>6</xdr:col>
                    <xdr:colOff>0</xdr:colOff>
                    <xdr:row>4</xdr:row>
                    <xdr:rowOff>0</xdr:rowOff>
                  </from>
                  <to>
                    <xdr:col>6</xdr:col>
                    <xdr:colOff>1242060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63" r:id="rId6" name="Button 3">
              <controlPr defaultSize="0" print="0" autoFill="0" autoPict="0" macro="[0]!ADD">
                <anchor moveWithCells="1">
                  <from>
                    <xdr:col>14</xdr:col>
                    <xdr:colOff>144780</xdr:colOff>
                    <xdr:row>4</xdr:row>
                    <xdr:rowOff>0</xdr:rowOff>
                  </from>
                  <to>
                    <xdr:col>14</xdr:col>
                    <xdr:colOff>662940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64" r:id="rId7" name="Drop Down 4">
              <controlPr defaultSize="0" autoLine="0" autoPict="0">
                <anchor moveWithCells="1">
                  <from>
                    <xdr:col>3</xdr:col>
                    <xdr:colOff>15240</xdr:colOff>
                    <xdr:row>4</xdr:row>
                    <xdr:rowOff>0</xdr:rowOff>
                  </from>
                  <to>
                    <xdr:col>4</xdr:col>
                    <xdr:colOff>0</xdr:colOff>
                    <xdr:row>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65" r:id="rId8" name="Drop Down 5">
              <controlPr defaultSize="0" autoLine="0" autoPict="0">
                <anchor moveWithCells="1">
                  <from>
                    <xdr:col>7</xdr:col>
                    <xdr:colOff>0</xdr:colOff>
                    <xdr:row>4</xdr:row>
                    <xdr:rowOff>0</xdr:rowOff>
                  </from>
                  <to>
                    <xdr:col>7</xdr:col>
                    <xdr:colOff>1242060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66" r:id="rId9" name="Drop Down 6">
              <controlPr defaultSize="0" autoLine="0" autoPict="0">
                <anchor moveWithCells="1">
                  <from>
                    <xdr:col>3</xdr:col>
                    <xdr:colOff>15240</xdr:colOff>
                    <xdr:row>4</xdr:row>
                    <xdr:rowOff>0</xdr:rowOff>
                  </from>
                  <to>
                    <xdr:col>4</xdr:col>
                    <xdr:colOff>0</xdr:colOff>
                    <xdr:row>4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showGridLines="0" workbookViewId="0"/>
  </sheetViews>
  <sheetFormatPr defaultRowHeight="14.4" x14ac:dyDescent="0.3"/>
  <cols>
    <col min="3" max="4" width="16.109375" customWidth="1"/>
    <col min="5" max="5" width="23.109375" customWidth="1"/>
    <col min="6" max="6" width="15.6640625" bestFit="1" customWidth="1"/>
    <col min="7" max="7" width="21.6640625" bestFit="1" customWidth="1"/>
    <col min="8" max="8" width="18.44140625" bestFit="1" customWidth="1"/>
    <col min="9" max="9" width="13.44140625" customWidth="1"/>
    <col min="10" max="10" width="14.44140625" customWidth="1"/>
    <col min="11" max="13" width="12" customWidth="1"/>
    <col min="14" max="14" width="22.44140625" bestFit="1" customWidth="1"/>
    <col min="15" max="15" width="9.44140625" bestFit="1" customWidth="1"/>
    <col min="17" max="17" width="28.109375" bestFit="1" customWidth="1"/>
  </cols>
  <sheetData>
    <row r="1" spans="1:15" x14ac:dyDescent="0.3">
      <c r="A1" s="2" t="s">
        <v>119</v>
      </c>
    </row>
    <row r="4" spans="1:15" x14ac:dyDescent="0.3">
      <c r="C4" s="351"/>
      <c r="D4" s="351"/>
      <c r="E4" s="351" t="s">
        <v>1601</v>
      </c>
      <c r="F4" s="351"/>
      <c r="G4" s="351"/>
      <c r="H4" s="351"/>
    </row>
    <row r="5" spans="1:15" x14ac:dyDescent="0.3">
      <c r="C5" s="3" t="s">
        <v>34</v>
      </c>
      <c r="D5" s="3" t="s">
        <v>35</v>
      </c>
      <c r="E5" s="3" t="s">
        <v>1606</v>
      </c>
      <c r="F5" s="3"/>
      <c r="N5" s="383"/>
      <c r="O5" s="384"/>
    </row>
    <row r="6" spans="1:15" x14ac:dyDescent="0.3">
      <c r="C6" s="72" t="s">
        <v>1589</v>
      </c>
      <c r="D6" s="3" t="s">
        <v>1590</v>
      </c>
      <c r="E6" s="395" t="s">
        <v>716</v>
      </c>
    </row>
    <row r="8" spans="1:15" x14ac:dyDescent="0.3">
      <c r="C8" t="s">
        <v>1605</v>
      </c>
    </row>
    <row r="9" spans="1:15" x14ac:dyDescent="0.3">
      <c r="C9" s="350" t="s">
        <v>34</v>
      </c>
      <c r="D9" s="350" t="s">
        <v>35</v>
      </c>
      <c r="E9" s="350" t="s">
        <v>1597</v>
      </c>
      <c r="F9" s="350" t="s">
        <v>1598</v>
      </c>
      <c r="G9" s="350" t="s">
        <v>1600</v>
      </c>
      <c r="H9" s="350" t="s">
        <v>1599</v>
      </c>
    </row>
    <row r="10" spans="1:15" x14ac:dyDescent="0.3">
      <c r="C10" s="38" t="s">
        <v>372</v>
      </c>
      <c r="D10" s="3" t="s">
        <v>1592</v>
      </c>
      <c r="E10" s="3">
        <v>5</v>
      </c>
      <c r="F10" s="3">
        <v>2</v>
      </c>
      <c r="G10" s="3">
        <v>2</v>
      </c>
      <c r="H10" s="3">
        <v>4000</v>
      </c>
    </row>
    <row r="11" spans="1:15" x14ac:dyDescent="0.3">
      <c r="C11" s="71"/>
      <c r="D11" s="3" t="s">
        <v>1593</v>
      </c>
      <c r="E11" s="3">
        <v>3</v>
      </c>
      <c r="F11" s="3">
        <v>1</v>
      </c>
      <c r="G11" s="3">
        <v>0</v>
      </c>
      <c r="H11" s="3">
        <v>0</v>
      </c>
    </row>
    <row r="12" spans="1:15" x14ac:dyDescent="0.3">
      <c r="C12" s="71"/>
      <c r="D12" s="3" t="s">
        <v>1594</v>
      </c>
      <c r="E12" s="3"/>
      <c r="F12" s="3"/>
      <c r="G12" s="3"/>
      <c r="H12" s="3"/>
    </row>
    <row r="13" spans="1:15" x14ac:dyDescent="0.3">
      <c r="C13" s="71"/>
      <c r="D13" s="3" t="s">
        <v>1595</v>
      </c>
      <c r="E13" s="3"/>
      <c r="F13" s="3"/>
      <c r="G13" s="3"/>
      <c r="H13" s="3"/>
    </row>
    <row r="14" spans="1:15" x14ac:dyDescent="0.3">
      <c r="C14" s="72"/>
      <c r="D14" s="3" t="s">
        <v>1596</v>
      </c>
      <c r="E14" s="3"/>
      <c r="F14" s="3"/>
      <c r="G14" s="3"/>
      <c r="H14" s="3"/>
    </row>
    <row r="16" spans="1:15" x14ac:dyDescent="0.3">
      <c r="C16" t="s">
        <v>1607</v>
      </c>
    </row>
    <row r="17" spans="3:8" x14ac:dyDescent="0.3">
      <c r="C17" s="350" t="s">
        <v>34</v>
      </c>
      <c r="D17" s="350" t="s">
        <v>35</v>
      </c>
      <c r="E17" s="350" t="s">
        <v>1597</v>
      </c>
      <c r="F17" s="350" t="s">
        <v>1598</v>
      </c>
      <c r="G17" s="350" t="s">
        <v>1600</v>
      </c>
      <c r="H17" s="350" t="s">
        <v>1599</v>
      </c>
    </row>
    <row r="18" spans="3:8" x14ac:dyDescent="0.3">
      <c r="C18" s="38" t="s">
        <v>372</v>
      </c>
      <c r="D18" s="3" t="s">
        <v>1608</v>
      </c>
      <c r="E18" s="3">
        <v>5</v>
      </c>
      <c r="F18" s="3">
        <v>2</v>
      </c>
      <c r="G18" s="3">
        <v>2</v>
      </c>
      <c r="H18" s="3">
        <v>4000</v>
      </c>
    </row>
    <row r="19" spans="3:8" x14ac:dyDescent="0.3">
      <c r="C19" s="71"/>
      <c r="D19" s="3" t="s">
        <v>1609</v>
      </c>
      <c r="E19" s="3">
        <v>3</v>
      </c>
      <c r="F19" s="3">
        <v>1</v>
      </c>
      <c r="G19" s="3">
        <v>0</v>
      </c>
      <c r="H19" s="3">
        <v>0</v>
      </c>
    </row>
    <row r="20" spans="3:8" x14ac:dyDescent="0.3">
      <c r="C20" s="71"/>
      <c r="D20" s="3"/>
      <c r="E20" s="3"/>
      <c r="F20" s="3"/>
      <c r="G20" s="3"/>
      <c r="H20" s="3"/>
    </row>
    <row r="21" spans="3:8" x14ac:dyDescent="0.3">
      <c r="C21" s="71"/>
      <c r="D21" s="3"/>
      <c r="E21" s="3"/>
      <c r="F21" s="3"/>
      <c r="G21" s="3"/>
      <c r="H21" s="3"/>
    </row>
    <row r="22" spans="3:8" x14ac:dyDescent="0.3">
      <c r="C22" s="72"/>
      <c r="D22" s="3"/>
      <c r="E22" s="3"/>
      <c r="F22" s="3"/>
      <c r="G22" s="3"/>
      <c r="H22" s="3"/>
    </row>
    <row r="25" spans="3:8" x14ac:dyDescent="0.3">
      <c r="C25" s="351"/>
      <c r="D25" s="351"/>
      <c r="E25" s="351" t="s">
        <v>1602</v>
      </c>
      <c r="F25" s="351"/>
      <c r="G25" s="351"/>
      <c r="H25" s="351"/>
    </row>
    <row r="26" spans="3:8" x14ac:dyDescent="0.3">
      <c r="C26" s="3" t="s">
        <v>34</v>
      </c>
      <c r="D26" s="3" t="s">
        <v>35</v>
      </c>
    </row>
    <row r="27" spans="3:8" x14ac:dyDescent="0.3">
      <c r="C27" s="72" t="s">
        <v>1603</v>
      </c>
      <c r="D27" s="3" t="s">
        <v>1604</v>
      </c>
    </row>
    <row r="29" spans="3:8" x14ac:dyDescent="0.3">
      <c r="C29" s="350" t="s">
        <v>34</v>
      </c>
      <c r="D29" s="350" t="s">
        <v>35</v>
      </c>
      <c r="E29" s="350" t="s">
        <v>1597</v>
      </c>
      <c r="F29" s="350" t="s">
        <v>1598</v>
      </c>
      <c r="G29" s="350" t="s">
        <v>1600</v>
      </c>
      <c r="H29" s="350" t="s">
        <v>1599</v>
      </c>
    </row>
    <row r="30" spans="3:8" x14ac:dyDescent="0.3">
      <c r="C30" s="3" t="s">
        <v>1592</v>
      </c>
      <c r="D30" s="38" t="s">
        <v>372</v>
      </c>
      <c r="E30" s="3"/>
      <c r="F30" s="3"/>
      <c r="G30" s="3"/>
      <c r="H30" s="3"/>
    </row>
    <row r="31" spans="3:8" x14ac:dyDescent="0.3">
      <c r="C31" s="3" t="s">
        <v>1593</v>
      </c>
      <c r="D31" s="71"/>
      <c r="E31" s="3"/>
      <c r="F31" s="3"/>
      <c r="G31" s="3"/>
      <c r="H31" s="3"/>
    </row>
    <row r="32" spans="3:8" x14ac:dyDescent="0.3">
      <c r="C32" s="3" t="s">
        <v>1594</v>
      </c>
      <c r="D32" s="71"/>
      <c r="E32" s="3"/>
      <c r="F32" s="3"/>
      <c r="G32" s="3"/>
      <c r="H32" s="3"/>
    </row>
    <row r="33" spans="3:8" x14ac:dyDescent="0.3">
      <c r="C33" s="3" t="s">
        <v>1595</v>
      </c>
      <c r="D33" s="71"/>
      <c r="E33" s="3"/>
      <c r="F33" s="3"/>
      <c r="G33" s="3"/>
      <c r="H33" s="3"/>
    </row>
    <row r="34" spans="3:8" x14ac:dyDescent="0.3">
      <c r="C34" s="3" t="s">
        <v>1596</v>
      </c>
      <c r="D34" s="72"/>
      <c r="E34" s="3"/>
      <c r="F34" s="3"/>
      <c r="G34" s="3"/>
      <c r="H34" s="3"/>
    </row>
  </sheetData>
  <mergeCells count="1">
    <mergeCell ref="N5:O5"/>
  </mergeCells>
  <hyperlinks>
    <hyperlink ref="A1" location="Menu!A1" display="Menu"/>
  </hyperlinks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5"/>
  <sheetViews>
    <sheetView showGridLines="0" workbookViewId="0"/>
  </sheetViews>
  <sheetFormatPr defaultRowHeight="14.4" x14ac:dyDescent="0.3"/>
  <cols>
    <col min="3" max="4" width="16.109375" customWidth="1"/>
    <col min="5" max="5" width="23.109375" customWidth="1"/>
    <col min="6" max="6" width="13.33203125" bestFit="1" customWidth="1"/>
    <col min="7" max="7" width="18.44140625" bestFit="1" customWidth="1"/>
    <col min="8" max="8" width="18.44140625" customWidth="1"/>
    <col min="9" max="9" width="14.109375" customWidth="1"/>
    <col min="10" max="10" width="13.44140625" customWidth="1"/>
    <col min="11" max="11" width="14.44140625" customWidth="1"/>
    <col min="12" max="14" width="12" customWidth="1"/>
    <col min="15" max="15" width="22.44140625" bestFit="1" customWidth="1"/>
    <col min="16" max="16" width="9.44140625" bestFit="1" customWidth="1"/>
    <col min="18" max="18" width="28.109375" bestFit="1" customWidth="1"/>
  </cols>
  <sheetData>
    <row r="1" spans="1:18" x14ac:dyDescent="0.3">
      <c r="A1" s="2" t="s">
        <v>119</v>
      </c>
    </row>
    <row r="2" spans="1:18" x14ac:dyDescent="0.3">
      <c r="H2" t="s">
        <v>231</v>
      </c>
    </row>
    <row r="3" spans="1:18" x14ac:dyDescent="0.3">
      <c r="J3" t="s">
        <v>263</v>
      </c>
    </row>
    <row r="5" spans="1:18" ht="43.2" x14ac:dyDescent="0.3">
      <c r="C5" s="3" t="s">
        <v>229</v>
      </c>
      <c r="D5" s="3" t="s">
        <v>128</v>
      </c>
      <c r="E5" s="3" t="s">
        <v>169</v>
      </c>
      <c r="F5" s="3" t="s">
        <v>230</v>
      </c>
      <c r="G5" s="100" t="s">
        <v>352</v>
      </c>
      <c r="H5" s="3" t="s">
        <v>262</v>
      </c>
      <c r="I5" s="100" t="s">
        <v>233</v>
      </c>
      <c r="J5" s="100" t="s">
        <v>243</v>
      </c>
      <c r="K5" s="100" t="s">
        <v>244</v>
      </c>
      <c r="L5" s="100" t="s">
        <v>234</v>
      </c>
      <c r="M5" s="100" t="s">
        <v>479</v>
      </c>
      <c r="N5" s="100" t="s">
        <v>146</v>
      </c>
    </row>
    <row r="6" spans="1:18" x14ac:dyDescent="0.3">
      <c r="C6" s="3"/>
      <c r="D6" s="3"/>
      <c r="E6" s="3"/>
      <c r="F6" s="3"/>
      <c r="G6" s="3"/>
      <c r="H6" s="3"/>
      <c r="I6" s="3">
        <v>100</v>
      </c>
      <c r="J6" s="3">
        <v>1500</v>
      </c>
      <c r="K6" s="3"/>
      <c r="L6" s="3"/>
      <c r="M6" s="3"/>
      <c r="N6" s="3"/>
    </row>
    <row r="7" spans="1:18" x14ac:dyDescent="0.3">
      <c r="C7" s="73" t="s">
        <v>711</v>
      </c>
      <c r="D7" s="20"/>
      <c r="E7" s="33"/>
      <c r="F7" s="33"/>
      <c r="G7" s="33"/>
      <c r="H7" s="33"/>
      <c r="I7" s="33"/>
      <c r="J7" s="33"/>
      <c r="K7" s="33"/>
      <c r="L7" s="33"/>
      <c r="M7" s="33"/>
      <c r="N7" s="34"/>
    </row>
    <row r="8" spans="1:18" x14ac:dyDescent="0.3">
      <c r="C8" s="73" t="s">
        <v>110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8" x14ac:dyDescent="0.3">
      <c r="O9" s="383" t="s">
        <v>55</v>
      </c>
      <c r="P9" s="384"/>
    </row>
    <row r="10" spans="1:18" ht="43.2" x14ac:dyDescent="0.3">
      <c r="B10" s="92" t="s">
        <v>131</v>
      </c>
      <c r="C10" s="92" t="s">
        <v>229</v>
      </c>
      <c r="D10" s="92" t="s">
        <v>128</v>
      </c>
      <c r="E10" s="92" t="s">
        <v>169</v>
      </c>
      <c r="F10" s="92" t="s">
        <v>230</v>
      </c>
      <c r="G10" s="92" t="s">
        <v>232</v>
      </c>
      <c r="H10" s="92" t="s">
        <v>262</v>
      </c>
      <c r="I10" s="101" t="s">
        <v>233</v>
      </c>
      <c r="J10" s="101" t="s">
        <v>243</v>
      </c>
      <c r="K10" s="101" t="s">
        <v>244</v>
      </c>
      <c r="L10" s="101" t="s">
        <v>234</v>
      </c>
      <c r="M10" s="101" t="s">
        <v>479</v>
      </c>
      <c r="N10" s="101" t="s">
        <v>146</v>
      </c>
      <c r="O10" s="92" t="s">
        <v>118</v>
      </c>
      <c r="P10" s="111"/>
    </row>
    <row r="11" spans="1:18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80" t="s">
        <v>253</v>
      </c>
      <c r="P11" s="87" t="s">
        <v>353</v>
      </c>
      <c r="R11" s="3" t="s">
        <v>235</v>
      </c>
    </row>
    <row r="12" spans="1:18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4" t="s">
        <v>353</v>
      </c>
      <c r="R12" s="71" t="s">
        <v>236</v>
      </c>
    </row>
    <row r="13" spans="1:18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14" t="s">
        <v>353</v>
      </c>
      <c r="R13" s="71" t="s">
        <v>237</v>
      </c>
    </row>
    <row r="14" spans="1:18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14" t="s">
        <v>353</v>
      </c>
      <c r="R14" s="71" t="s">
        <v>264</v>
      </c>
    </row>
    <row r="15" spans="1:18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14" t="s">
        <v>353</v>
      </c>
      <c r="R15" s="71" t="s">
        <v>238</v>
      </c>
    </row>
    <row r="16" spans="1:18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14" t="s">
        <v>353</v>
      </c>
      <c r="R16" s="71" t="s">
        <v>239</v>
      </c>
    </row>
    <row r="17" spans="2:18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14" t="s">
        <v>353</v>
      </c>
      <c r="R17" s="71" t="s">
        <v>240</v>
      </c>
    </row>
    <row r="18" spans="2:18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4" t="s">
        <v>353</v>
      </c>
      <c r="R18" s="71" t="s">
        <v>265</v>
      </c>
    </row>
    <row r="19" spans="2:18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14" t="s">
        <v>353</v>
      </c>
      <c r="R19" s="71" t="s">
        <v>241</v>
      </c>
    </row>
    <row r="20" spans="2:18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14" t="s">
        <v>353</v>
      </c>
      <c r="R20" s="71" t="s">
        <v>242</v>
      </c>
    </row>
    <row r="21" spans="2:18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14" t="s">
        <v>353</v>
      </c>
      <c r="R21" s="71" t="s">
        <v>245</v>
      </c>
    </row>
    <row r="22" spans="2:18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14" t="s">
        <v>353</v>
      </c>
      <c r="R22" s="72" t="s">
        <v>246</v>
      </c>
    </row>
    <row r="25" spans="2:18" x14ac:dyDescent="0.3">
      <c r="J25" s="145" t="s">
        <v>480</v>
      </c>
    </row>
  </sheetData>
  <mergeCells count="1">
    <mergeCell ref="O9:P9"/>
  </mergeCells>
  <hyperlinks>
    <hyperlink ref="A1" location="Menu!A1" display="Menu"/>
    <hyperlink ref="P11" location="Customer_PIC!A1" display=" ADD PIC |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745" r:id="rId4" name="Drop Down 1">
              <controlPr defaultSize="0" autoLine="0" autoPict="0">
                <anchor moveWithCells="1">
                  <from>
                    <xdr:col>5</xdr:col>
                    <xdr:colOff>0</xdr:colOff>
                    <xdr:row>5</xdr:row>
                    <xdr:rowOff>7620</xdr:rowOff>
                  </from>
                  <to>
                    <xdr:col>6</xdr:col>
                    <xdr:colOff>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6" r:id="rId5" name="Drop Down 2">
              <controlPr defaultSize="0" autoLine="0" autoPict="0">
                <anchor moveWithCells="1">
                  <from>
                    <xdr:col>6</xdr:col>
                    <xdr:colOff>0</xdr:colOff>
                    <xdr:row>5</xdr:row>
                    <xdr:rowOff>0</xdr:rowOff>
                  </from>
                  <to>
                    <xdr:col>6</xdr:col>
                    <xdr:colOff>1242060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7" r:id="rId6" name="Button 3">
              <controlPr defaultSize="0" print="0" autoFill="0" autoPict="0" macro="[0]!ADD">
                <anchor moveWithCells="1">
                  <from>
                    <xdr:col>14</xdr:col>
                    <xdr:colOff>144780</xdr:colOff>
                    <xdr:row>4</xdr:row>
                    <xdr:rowOff>335280</xdr:rowOff>
                  </from>
                  <to>
                    <xdr:col>14</xdr:col>
                    <xdr:colOff>662940</xdr:colOff>
                    <xdr:row>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9" r:id="rId7" name="Drop Down 5">
              <controlPr defaultSize="0" autoLine="0" autoPict="0">
                <anchor moveWithCells="1">
                  <from>
                    <xdr:col>3</xdr:col>
                    <xdr:colOff>15240</xdr:colOff>
                    <xdr:row>5</xdr:row>
                    <xdr:rowOff>0</xdr:rowOff>
                  </from>
                  <to>
                    <xdr:col>4</xdr:col>
                    <xdr:colOff>0</xdr:colOff>
                    <xdr:row>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0" r:id="rId8" name="Drop Down 6">
              <controlPr defaultSize="0" autoLine="0" autoPict="0">
                <anchor moveWithCells="1">
                  <from>
                    <xdr:col>7</xdr:col>
                    <xdr:colOff>0</xdr:colOff>
                    <xdr:row>5</xdr:row>
                    <xdr:rowOff>0</xdr:rowOff>
                  </from>
                  <to>
                    <xdr:col>7</xdr:col>
                    <xdr:colOff>1242060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1" r:id="rId9" name="Drop Down 7">
              <controlPr defaultSize="0" autoLine="0" autoPict="0">
                <anchor moveWithCells="1">
                  <from>
                    <xdr:col>3</xdr:col>
                    <xdr:colOff>15240</xdr:colOff>
                    <xdr:row>7</xdr:row>
                    <xdr:rowOff>0</xdr:rowOff>
                  </from>
                  <to>
                    <xdr:col>4</xdr:col>
                    <xdr:colOff>0</xdr:colOff>
                    <xdr:row>7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2"/>
  <sheetViews>
    <sheetView showGridLines="0" workbookViewId="0">
      <selection activeCell="H22" sqref="H22"/>
    </sheetView>
  </sheetViews>
  <sheetFormatPr defaultRowHeight="14.4" x14ac:dyDescent="0.3"/>
  <cols>
    <col min="3" max="3" width="16.109375" customWidth="1"/>
    <col min="4" max="4" width="23.109375" customWidth="1"/>
    <col min="5" max="5" width="13.33203125" bestFit="1" customWidth="1"/>
    <col min="6" max="6" width="18.44140625" bestFit="1" customWidth="1"/>
    <col min="7" max="7" width="14.109375" customWidth="1"/>
    <col min="8" max="8" width="22.44140625" bestFit="1" customWidth="1"/>
    <col min="10" max="10" width="28.109375" bestFit="1" customWidth="1"/>
  </cols>
  <sheetData>
    <row r="1" spans="1:10" x14ac:dyDescent="0.3">
      <c r="A1" s="2" t="s">
        <v>119</v>
      </c>
    </row>
    <row r="5" spans="1:10" x14ac:dyDescent="0.3">
      <c r="C5" s="92" t="s">
        <v>218</v>
      </c>
      <c r="D5" s="92" t="s">
        <v>212</v>
      </c>
      <c r="E5" s="92" t="s">
        <v>171</v>
      </c>
      <c r="F5" s="92" t="s">
        <v>173</v>
      </c>
      <c r="G5" s="101" t="s">
        <v>172</v>
      </c>
    </row>
    <row r="6" spans="1:10" x14ac:dyDescent="0.3">
      <c r="C6" s="3"/>
      <c r="D6" s="3"/>
      <c r="E6" s="3"/>
      <c r="F6" s="3"/>
      <c r="G6" s="3"/>
    </row>
    <row r="8" spans="1:10" x14ac:dyDescent="0.3">
      <c r="H8" s="38" t="s">
        <v>55</v>
      </c>
    </row>
    <row r="9" spans="1:10" x14ac:dyDescent="0.3">
      <c r="B9" s="92" t="s">
        <v>131</v>
      </c>
      <c r="C9" s="92" t="s">
        <v>218</v>
      </c>
      <c r="D9" s="92" t="s">
        <v>212</v>
      </c>
      <c r="E9" s="92" t="s">
        <v>171</v>
      </c>
      <c r="F9" s="92" t="s">
        <v>173</v>
      </c>
      <c r="G9" s="101" t="s">
        <v>172</v>
      </c>
      <c r="H9" s="92" t="s">
        <v>118</v>
      </c>
    </row>
    <row r="10" spans="1:10" x14ac:dyDescent="0.3">
      <c r="B10" s="3"/>
      <c r="C10" s="3"/>
      <c r="D10" s="3"/>
      <c r="E10" s="3"/>
      <c r="F10" s="3"/>
      <c r="G10" s="3"/>
      <c r="H10" s="80" t="s">
        <v>253</v>
      </c>
      <c r="J10" s="3" t="s">
        <v>254</v>
      </c>
    </row>
    <row r="11" spans="1:10" x14ac:dyDescent="0.3">
      <c r="B11" s="3"/>
      <c r="C11" s="3"/>
      <c r="D11" s="3"/>
      <c r="E11" s="3"/>
      <c r="F11" s="3"/>
      <c r="G11" s="3"/>
      <c r="H11" s="3"/>
      <c r="J11" s="71" t="s">
        <v>236</v>
      </c>
    </row>
    <row r="12" spans="1:10" x14ac:dyDescent="0.3">
      <c r="B12" s="3"/>
      <c r="C12" s="3"/>
      <c r="D12" s="3"/>
      <c r="E12" s="3"/>
      <c r="F12" s="3"/>
      <c r="G12" s="3"/>
      <c r="H12" s="3"/>
      <c r="J12" s="71" t="s">
        <v>247</v>
      </c>
    </row>
    <row r="13" spans="1:10" x14ac:dyDescent="0.3">
      <c r="B13" s="3"/>
      <c r="C13" s="3"/>
      <c r="D13" s="3"/>
      <c r="E13" s="3"/>
      <c r="F13" s="3"/>
      <c r="G13" s="3"/>
      <c r="H13" s="3"/>
      <c r="J13" s="71" t="s">
        <v>248</v>
      </c>
    </row>
    <row r="14" spans="1:10" x14ac:dyDescent="0.3">
      <c r="B14" s="3"/>
      <c r="C14" s="3"/>
      <c r="D14" s="3"/>
      <c r="E14" s="3"/>
      <c r="F14" s="3"/>
      <c r="G14" s="3"/>
      <c r="H14" s="3"/>
      <c r="J14" s="71" t="s">
        <v>249</v>
      </c>
    </row>
    <row r="15" spans="1:10" x14ac:dyDescent="0.3">
      <c r="B15" s="3"/>
      <c r="C15" s="3"/>
      <c r="D15" s="3"/>
      <c r="E15" s="3"/>
      <c r="F15" s="3"/>
      <c r="G15" s="3"/>
      <c r="H15" s="3"/>
      <c r="J15" s="71" t="s">
        <v>250</v>
      </c>
    </row>
    <row r="16" spans="1:10" x14ac:dyDescent="0.3">
      <c r="B16" s="3"/>
      <c r="C16" s="3"/>
      <c r="D16" s="3"/>
      <c r="E16" s="3"/>
      <c r="F16" s="3"/>
      <c r="G16" s="3"/>
      <c r="H16" s="3"/>
      <c r="J16" s="71" t="s">
        <v>251</v>
      </c>
    </row>
    <row r="17" spans="2:10" x14ac:dyDescent="0.3">
      <c r="B17" s="3"/>
      <c r="C17" s="3"/>
      <c r="D17" s="3"/>
      <c r="E17" s="3"/>
      <c r="F17" s="3"/>
      <c r="G17" s="3"/>
      <c r="H17" s="3"/>
      <c r="J17" s="71" t="s">
        <v>252</v>
      </c>
    </row>
    <row r="18" spans="2:10" x14ac:dyDescent="0.3">
      <c r="B18" s="3"/>
      <c r="C18" s="3"/>
      <c r="D18" s="3"/>
      <c r="E18" s="3"/>
      <c r="F18" s="3"/>
      <c r="G18" s="3"/>
      <c r="H18" s="3"/>
      <c r="J18" s="71"/>
    </row>
    <row r="19" spans="2:10" x14ac:dyDescent="0.3">
      <c r="B19" s="3"/>
      <c r="C19" s="3"/>
      <c r="D19" s="3"/>
      <c r="E19" s="3"/>
      <c r="F19" s="3"/>
      <c r="G19" s="3"/>
      <c r="H19" s="3"/>
      <c r="J19" s="71"/>
    </row>
    <row r="20" spans="2:10" x14ac:dyDescent="0.3">
      <c r="B20" s="3"/>
      <c r="C20" s="3"/>
      <c r="D20" s="3"/>
      <c r="E20" s="3"/>
      <c r="F20" s="3"/>
      <c r="G20" s="3"/>
      <c r="H20" s="3"/>
      <c r="J20" s="72"/>
    </row>
    <row r="21" spans="2:10" x14ac:dyDescent="0.3">
      <c r="B21" s="3"/>
      <c r="C21" s="3"/>
      <c r="D21" s="3"/>
      <c r="E21" s="3"/>
      <c r="F21" s="3"/>
      <c r="G21" s="3"/>
      <c r="H21" s="3"/>
    </row>
    <row r="22" spans="2:10" x14ac:dyDescent="0.3">
      <c r="H22" s="2" t="s">
        <v>255</v>
      </c>
    </row>
  </sheetData>
  <hyperlinks>
    <hyperlink ref="A1" location="Menu!A1" display="Menu"/>
    <hyperlink ref="H22" location="Customer!A1" display="Back to List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771" r:id="rId3" name="Button 3">
              <controlPr defaultSize="0" print="0" autoFill="0" autoPict="0" macro="[0]!ADD">
                <anchor moveWithCells="1">
                  <from>
                    <xdr:col>7</xdr:col>
                    <xdr:colOff>144780</xdr:colOff>
                    <xdr:row>4</xdr:row>
                    <xdr:rowOff>335280</xdr:rowOff>
                  </from>
                  <to>
                    <xdr:col>7</xdr:col>
                    <xdr:colOff>662940</xdr:colOff>
                    <xdr:row>6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4"/>
  <sheetViews>
    <sheetView showGridLines="0" workbookViewId="0"/>
  </sheetViews>
  <sheetFormatPr defaultRowHeight="14.4" x14ac:dyDescent="0.3"/>
  <cols>
    <col min="3" max="4" width="16.109375" customWidth="1"/>
    <col min="5" max="5" width="23.109375" customWidth="1"/>
    <col min="6" max="6" width="13.33203125" bestFit="1" customWidth="1"/>
    <col min="7" max="7" width="18.44140625" bestFit="1" customWidth="1"/>
    <col min="8" max="8" width="34.5546875" customWidth="1"/>
    <col min="9" max="9" width="27.44140625" customWidth="1"/>
    <col min="10" max="10" width="14.6640625" bestFit="1" customWidth="1"/>
    <col min="11" max="12" width="14.6640625" customWidth="1"/>
    <col min="13" max="13" width="13.77734375" bestFit="1" customWidth="1"/>
    <col min="15" max="15" width="9.88671875" bestFit="1" customWidth="1"/>
  </cols>
  <sheetData>
    <row r="1" spans="1:15" x14ac:dyDescent="0.3">
      <c r="A1" s="2" t="s">
        <v>119</v>
      </c>
    </row>
    <row r="2" spans="1:15" x14ac:dyDescent="0.3">
      <c r="H2" t="s">
        <v>259</v>
      </c>
    </row>
    <row r="3" spans="1:15" x14ac:dyDescent="0.3">
      <c r="I3" t="s">
        <v>266</v>
      </c>
    </row>
    <row r="4" spans="1:15" x14ac:dyDescent="0.3">
      <c r="N4" t="s">
        <v>269</v>
      </c>
    </row>
    <row r="5" spans="1:15" ht="28.8" x14ac:dyDescent="0.3">
      <c r="C5" s="92" t="s">
        <v>258</v>
      </c>
      <c r="D5" s="92" t="s">
        <v>128</v>
      </c>
      <c r="E5" s="92" t="s">
        <v>169</v>
      </c>
      <c r="F5" s="92" t="s">
        <v>260</v>
      </c>
      <c r="G5" s="92" t="s">
        <v>261</v>
      </c>
      <c r="H5" s="101" t="s">
        <v>267</v>
      </c>
      <c r="I5" s="102" t="s">
        <v>268</v>
      </c>
      <c r="J5" s="102" t="s">
        <v>503</v>
      </c>
      <c r="K5" s="102" t="s">
        <v>501</v>
      </c>
      <c r="L5" s="102" t="s">
        <v>146</v>
      </c>
    </row>
    <row r="6" spans="1:15" x14ac:dyDescent="0.3">
      <c r="C6" s="3"/>
      <c r="D6" s="3"/>
      <c r="E6" s="3"/>
      <c r="F6" s="3"/>
      <c r="G6" s="3"/>
      <c r="H6" s="3"/>
      <c r="I6" s="3"/>
      <c r="J6" s="3"/>
      <c r="K6" s="3"/>
      <c r="L6" s="3"/>
    </row>
    <row r="8" spans="1:15" x14ac:dyDescent="0.3">
      <c r="M8" s="352" t="s">
        <v>55</v>
      </c>
      <c r="N8" s="352"/>
      <c r="O8" s="352"/>
    </row>
    <row r="9" spans="1:15" ht="28.8" x14ac:dyDescent="0.3">
      <c r="B9" s="92" t="s">
        <v>131</v>
      </c>
      <c r="C9" s="92" t="s">
        <v>258</v>
      </c>
      <c r="D9" s="92" t="s">
        <v>128</v>
      </c>
      <c r="E9" s="92" t="s">
        <v>169</v>
      </c>
      <c r="F9" s="92" t="s">
        <v>260</v>
      </c>
      <c r="G9" s="92" t="s">
        <v>261</v>
      </c>
      <c r="H9" s="101" t="s">
        <v>267</v>
      </c>
      <c r="I9" s="102" t="s">
        <v>268</v>
      </c>
      <c r="J9" s="102" t="s">
        <v>503</v>
      </c>
      <c r="K9" s="102" t="s">
        <v>501</v>
      </c>
      <c r="L9" s="102" t="s">
        <v>146</v>
      </c>
      <c r="M9" s="385" t="s">
        <v>118</v>
      </c>
      <c r="N9" s="386"/>
      <c r="O9" s="386"/>
    </row>
    <row r="10" spans="1:15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80" t="s">
        <v>222</v>
      </c>
      <c r="N10" s="109" t="s">
        <v>354</v>
      </c>
      <c r="O10" s="3" t="s">
        <v>355</v>
      </c>
    </row>
    <row r="11" spans="1:15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2:15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2:15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2:15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2:15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3" spans="2:15" x14ac:dyDescent="0.3">
      <c r="C23" s="145" t="s">
        <v>480</v>
      </c>
    </row>
    <row r="24" spans="2:15" x14ac:dyDescent="0.3">
      <c r="I24" s="3" t="s">
        <v>278</v>
      </c>
      <c r="J24" s="21"/>
      <c r="K24" s="21"/>
      <c r="L24" s="21"/>
    </row>
    <row r="25" spans="2:15" x14ac:dyDescent="0.3">
      <c r="I25" s="71" t="s">
        <v>270</v>
      </c>
      <c r="J25" s="21"/>
      <c r="K25" s="21"/>
      <c r="L25" s="21"/>
    </row>
    <row r="26" spans="2:15" x14ac:dyDescent="0.3">
      <c r="I26" s="71" t="s">
        <v>271</v>
      </c>
      <c r="J26" s="21"/>
      <c r="K26" s="21"/>
      <c r="L26" s="21"/>
    </row>
    <row r="27" spans="2:15" x14ac:dyDescent="0.3">
      <c r="I27" s="71" t="s">
        <v>272</v>
      </c>
      <c r="J27" s="21"/>
      <c r="K27" s="21"/>
      <c r="L27" s="21"/>
    </row>
    <row r="28" spans="2:15" x14ac:dyDescent="0.3">
      <c r="I28" s="71" t="s">
        <v>273</v>
      </c>
      <c r="J28" s="21"/>
      <c r="K28" s="21"/>
      <c r="L28" s="21"/>
    </row>
    <row r="29" spans="2:15" x14ac:dyDescent="0.3">
      <c r="I29" s="71" t="s">
        <v>274</v>
      </c>
      <c r="J29" s="21"/>
      <c r="K29" s="21"/>
      <c r="L29" s="21"/>
    </row>
    <row r="30" spans="2:15" x14ac:dyDescent="0.3">
      <c r="I30" s="71" t="s">
        <v>275</v>
      </c>
      <c r="J30" s="21"/>
      <c r="K30" s="21"/>
      <c r="L30" s="21"/>
    </row>
    <row r="31" spans="2:15" x14ac:dyDescent="0.3">
      <c r="I31" s="71" t="s">
        <v>276</v>
      </c>
      <c r="J31" s="21"/>
      <c r="K31" s="21"/>
      <c r="L31" s="21"/>
    </row>
    <row r="32" spans="2:15" x14ac:dyDescent="0.3">
      <c r="I32" s="71" t="s">
        <v>277</v>
      </c>
      <c r="J32" s="21"/>
      <c r="K32" s="21"/>
      <c r="L32" s="21"/>
    </row>
    <row r="33" spans="9:12" x14ac:dyDescent="0.3">
      <c r="I33" s="71"/>
      <c r="J33" s="21"/>
      <c r="K33" s="21"/>
      <c r="L33" s="21"/>
    </row>
    <row r="34" spans="9:12" x14ac:dyDescent="0.3">
      <c r="I34" s="72"/>
      <c r="J34" s="21"/>
      <c r="K34" s="21"/>
      <c r="L34" s="21"/>
    </row>
  </sheetData>
  <mergeCells count="2">
    <mergeCell ref="M8:O8"/>
    <mergeCell ref="M9:O9"/>
  </mergeCells>
  <hyperlinks>
    <hyperlink ref="A1" location="Menu!A1" display="Menu"/>
    <hyperlink ref="N10" location="Agent_PIC!A1" display=" ADD PIC | 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794" r:id="rId3" name="Drop Down 2">
              <controlPr defaultSize="0" autoLine="0" autoPict="0">
                <anchor moveWithCells="1">
                  <from>
                    <xdr:col>4</xdr:col>
                    <xdr:colOff>1577340</xdr:colOff>
                    <xdr:row>5</xdr:row>
                    <xdr:rowOff>22860</xdr:rowOff>
                  </from>
                  <to>
                    <xdr:col>5</xdr:col>
                    <xdr:colOff>906780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5" r:id="rId4" name="Button 3">
              <controlPr defaultSize="0" print="0" autoFill="0" autoPict="0" macro="[0]!ADD">
                <anchor moveWithCells="1">
                  <from>
                    <xdr:col>12</xdr:col>
                    <xdr:colOff>144780</xdr:colOff>
                    <xdr:row>4</xdr:row>
                    <xdr:rowOff>335280</xdr:rowOff>
                  </from>
                  <to>
                    <xdr:col>12</xdr:col>
                    <xdr:colOff>662940</xdr:colOff>
                    <xdr:row>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6" r:id="rId5" name="Drop Down 4">
              <controlPr defaultSize="0" autoLine="0" autoPict="0">
                <anchor moveWithCells="1">
                  <from>
                    <xdr:col>6</xdr:col>
                    <xdr:colOff>7620</xdr:colOff>
                    <xdr:row>5</xdr:row>
                    <xdr:rowOff>15240</xdr:rowOff>
                  </from>
                  <to>
                    <xdr:col>6</xdr:col>
                    <xdr:colOff>1242060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7" r:id="rId6" name="Drop Down 5">
              <controlPr defaultSize="0" autoLine="0" autoPict="0">
                <anchor moveWithCells="1">
                  <from>
                    <xdr:col>3</xdr:col>
                    <xdr:colOff>7620</xdr:colOff>
                    <xdr:row>5</xdr:row>
                    <xdr:rowOff>15240</xdr:rowOff>
                  </from>
                  <to>
                    <xdr:col>3</xdr:col>
                    <xdr:colOff>1082040</xdr:colOff>
                    <xdr:row>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9" r:id="rId7" name="Drop Down 7">
              <controlPr defaultSize="0" autoLine="0" autoPict="0">
                <anchor moveWithCells="1">
                  <from>
                    <xdr:col>7</xdr:col>
                    <xdr:colOff>7620</xdr:colOff>
                    <xdr:row>5</xdr:row>
                    <xdr:rowOff>15240</xdr:rowOff>
                  </from>
                  <to>
                    <xdr:col>7</xdr:col>
                    <xdr:colOff>1798320</xdr:colOff>
                    <xdr:row>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2" r:id="rId8" name="Drop Down 10">
              <controlPr defaultSize="0" autoLine="0" autoPict="0">
                <anchor moveWithCells="1">
                  <from>
                    <xdr:col>8</xdr:col>
                    <xdr:colOff>7620</xdr:colOff>
                    <xdr:row>5</xdr:row>
                    <xdr:rowOff>15240</xdr:rowOff>
                  </from>
                  <to>
                    <xdr:col>9</xdr:col>
                    <xdr:colOff>213360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3" r:id="rId9" name="Drop Down 11">
              <controlPr defaultSize="0" autoLine="0" autoPict="0">
                <anchor moveWithCells="1">
                  <from>
                    <xdr:col>11</xdr:col>
                    <xdr:colOff>7620</xdr:colOff>
                    <xdr:row>5</xdr:row>
                    <xdr:rowOff>7620</xdr:rowOff>
                  </from>
                  <to>
                    <xdr:col>11</xdr:col>
                    <xdr:colOff>975360</xdr:colOff>
                    <xdr:row>5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1"/>
  <sheetViews>
    <sheetView showGridLines="0" workbookViewId="0"/>
  </sheetViews>
  <sheetFormatPr defaultRowHeight="14.4" x14ac:dyDescent="0.3"/>
  <cols>
    <col min="3" max="4" width="16.109375" customWidth="1"/>
    <col min="5" max="5" width="23.109375" customWidth="1"/>
    <col min="6" max="6" width="13.33203125" bestFit="1" customWidth="1"/>
    <col min="7" max="7" width="18.44140625" bestFit="1" customWidth="1"/>
    <col min="8" max="8" width="19.33203125" bestFit="1" customWidth="1"/>
    <col min="10" max="10" width="28.109375" bestFit="1" customWidth="1"/>
  </cols>
  <sheetData>
    <row r="1" spans="1:10" x14ac:dyDescent="0.3">
      <c r="A1" s="2" t="s">
        <v>119</v>
      </c>
    </row>
    <row r="5" spans="1:10" x14ac:dyDescent="0.3">
      <c r="C5" s="92" t="s">
        <v>218</v>
      </c>
      <c r="D5" s="92" t="s">
        <v>212</v>
      </c>
      <c r="E5" s="92" t="s">
        <v>171</v>
      </c>
      <c r="F5" s="92" t="s">
        <v>199</v>
      </c>
      <c r="G5" s="92" t="s">
        <v>172</v>
      </c>
    </row>
    <row r="6" spans="1:10" x14ac:dyDescent="0.3">
      <c r="C6" s="3"/>
      <c r="D6" s="3"/>
      <c r="E6" s="3"/>
      <c r="F6" s="3"/>
      <c r="G6" s="3"/>
    </row>
    <row r="8" spans="1:10" x14ac:dyDescent="0.3">
      <c r="H8" s="38" t="s">
        <v>55</v>
      </c>
    </row>
    <row r="9" spans="1:10" x14ac:dyDescent="0.3">
      <c r="B9" s="92" t="s">
        <v>131</v>
      </c>
      <c r="C9" s="92" t="s">
        <v>218</v>
      </c>
      <c r="D9" s="92" t="s">
        <v>212</v>
      </c>
      <c r="E9" s="92" t="s">
        <v>171</v>
      </c>
      <c r="F9" s="92" t="s">
        <v>199</v>
      </c>
      <c r="G9" s="92" t="s">
        <v>172</v>
      </c>
      <c r="H9" s="92" t="s">
        <v>118</v>
      </c>
    </row>
    <row r="10" spans="1:10" x14ac:dyDescent="0.3">
      <c r="B10" s="3"/>
      <c r="C10" s="3"/>
      <c r="D10" s="3"/>
      <c r="E10" s="3"/>
      <c r="F10" s="3"/>
      <c r="G10" s="3"/>
      <c r="H10" s="80" t="s">
        <v>253</v>
      </c>
      <c r="J10" s="3" t="s">
        <v>281</v>
      </c>
    </row>
    <row r="11" spans="1:10" x14ac:dyDescent="0.3">
      <c r="B11" s="3"/>
      <c r="C11" s="3"/>
      <c r="D11" s="3"/>
      <c r="E11" s="3"/>
      <c r="F11" s="3"/>
      <c r="G11" s="3"/>
      <c r="H11" s="3"/>
      <c r="J11" s="71" t="s">
        <v>270</v>
      </c>
    </row>
    <row r="12" spans="1:10" x14ac:dyDescent="0.3">
      <c r="B12" s="3"/>
      <c r="C12" s="3"/>
      <c r="D12" s="3"/>
      <c r="E12" s="3"/>
      <c r="F12" s="3"/>
      <c r="G12" s="3"/>
      <c r="H12" s="3"/>
      <c r="J12" s="71" t="s">
        <v>279</v>
      </c>
    </row>
    <row r="13" spans="1:10" x14ac:dyDescent="0.3">
      <c r="B13" s="3"/>
      <c r="C13" s="3"/>
      <c r="D13" s="3"/>
      <c r="E13" s="3"/>
      <c r="F13" s="3"/>
      <c r="G13" s="3"/>
      <c r="H13" s="3"/>
      <c r="J13" s="71" t="s">
        <v>280</v>
      </c>
    </row>
    <row r="14" spans="1:10" x14ac:dyDescent="0.3">
      <c r="B14" s="3"/>
      <c r="C14" s="3"/>
      <c r="D14" s="3"/>
      <c r="E14" s="3"/>
      <c r="F14" s="3"/>
      <c r="G14" s="3"/>
      <c r="H14" s="3"/>
      <c r="J14" s="71" t="s">
        <v>282</v>
      </c>
    </row>
    <row r="15" spans="1:10" x14ac:dyDescent="0.3">
      <c r="B15" s="3"/>
      <c r="C15" s="3"/>
      <c r="D15" s="3"/>
      <c r="E15" s="3"/>
      <c r="F15" s="3"/>
      <c r="G15" s="3"/>
      <c r="H15" s="3"/>
      <c r="J15" s="71" t="s">
        <v>283</v>
      </c>
    </row>
    <row r="16" spans="1:10" x14ac:dyDescent="0.3">
      <c r="B16" s="3"/>
      <c r="C16" s="3"/>
      <c r="D16" s="3"/>
      <c r="E16" s="3"/>
      <c r="F16" s="3"/>
      <c r="G16" s="3"/>
      <c r="H16" s="3"/>
      <c r="J16" s="71" t="s">
        <v>284</v>
      </c>
    </row>
    <row r="17" spans="2:10" x14ac:dyDescent="0.3">
      <c r="B17" s="3"/>
      <c r="C17" s="3"/>
      <c r="D17" s="3"/>
      <c r="E17" s="3"/>
      <c r="F17" s="3"/>
      <c r="G17" s="3"/>
      <c r="H17" s="3"/>
      <c r="J17" s="71" t="s">
        <v>285</v>
      </c>
    </row>
    <row r="18" spans="2:10" x14ac:dyDescent="0.3">
      <c r="B18" s="3"/>
      <c r="C18" s="3"/>
      <c r="D18" s="3"/>
      <c r="E18" s="3"/>
      <c r="F18" s="3"/>
      <c r="G18" s="3"/>
      <c r="H18" s="3"/>
      <c r="J18" s="71"/>
    </row>
    <row r="19" spans="2:10" x14ac:dyDescent="0.3">
      <c r="B19" s="3"/>
      <c r="C19" s="3"/>
      <c r="D19" s="3"/>
      <c r="E19" s="3"/>
      <c r="F19" s="3"/>
      <c r="G19" s="3"/>
      <c r="H19" s="3"/>
      <c r="J19" s="71"/>
    </row>
    <row r="20" spans="2:10" x14ac:dyDescent="0.3">
      <c r="B20" s="3"/>
      <c r="C20" s="3"/>
      <c r="D20" s="3"/>
      <c r="E20" s="3"/>
      <c r="F20" s="3"/>
      <c r="G20" s="3"/>
      <c r="H20" s="3"/>
      <c r="J20" s="72"/>
    </row>
    <row r="21" spans="2:10" x14ac:dyDescent="0.3">
      <c r="B21" s="3"/>
      <c r="C21" s="3"/>
      <c r="D21" s="3"/>
      <c r="E21" s="3"/>
      <c r="F21" s="3"/>
      <c r="G21" s="3"/>
      <c r="H21" s="3"/>
    </row>
  </sheetData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4818" r:id="rId3" name="Button 2">
              <controlPr defaultSize="0" print="0" autoFill="0" autoPict="0" macro="[0]!ADD">
                <anchor moveWithCells="1">
                  <from>
                    <xdr:col>7</xdr:col>
                    <xdr:colOff>144780</xdr:colOff>
                    <xdr:row>4</xdr:row>
                    <xdr:rowOff>335280</xdr:rowOff>
                  </from>
                  <to>
                    <xdr:col>7</xdr:col>
                    <xdr:colOff>662940</xdr:colOff>
                    <xdr:row>6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5"/>
  <sheetViews>
    <sheetView showGridLines="0" workbookViewId="0"/>
  </sheetViews>
  <sheetFormatPr defaultRowHeight="14.4" x14ac:dyDescent="0.3"/>
  <cols>
    <col min="3" max="3" width="17.6640625" customWidth="1"/>
    <col min="4" max="4" width="14.44140625" customWidth="1"/>
    <col min="5" max="5" width="13.77734375" customWidth="1"/>
    <col min="6" max="6" width="14.77734375" customWidth="1"/>
    <col min="7" max="7" width="14.5546875" customWidth="1"/>
    <col min="8" max="8" width="15.5546875" customWidth="1"/>
    <col min="9" max="9" width="15.21875" bestFit="1" customWidth="1"/>
    <col min="10" max="10" width="15.21875" customWidth="1"/>
    <col min="11" max="11" width="13.77734375" bestFit="1" customWidth="1"/>
    <col min="12" max="12" width="4.5546875" bestFit="1" customWidth="1"/>
    <col min="13" max="13" width="7.21875" bestFit="1" customWidth="1"/>
    <col min="14" max="14" width="20.77734375" customWidth="1"/>
    <col min="16" max="16" width="22.77734375" bestFit="1" customWidth="1"/>
    <col min="17" max="17" width="16.77734375" bestFit="1" customWidth="1"/>
    <col min="18" max="18" width="11.44140625" bestFit="1" customWidth="1"/>
  </cols>
  <sheetData>
    <row r="1" spans="1:18" x14ac:dyDescent="0.3">
      <c r="A1" s="2" t="s">
        <v>119</v>
      </c>
    </row>
    <row r="3" spans="1:18" x14ac:dyDescent="0.3">
      <c r="C3" s="92" t="s">
        <v>286</v>
      </c>
      <c r="D3" s="92" t="s">
        <v>128</v>
      </c>
      <c r="E3" s="92" t="s">
        <v>212</v>
      </c>
      <c r="F3" s="92" t="s">
        <v>171</v>
      </c>
      <c r="G3" s="92" t="s">
        <v>289</v>
      </c>
      <c r="H3" s="92" t="s">
        <v>322</v>
      </c>
      <c r="I3" s="92" t="s">
        <v>290</v>
      </c>
      <c r="J3" s="111"/>
      <c r="R3" t="s">
        <v>288</v>
      </c>
    </row>
    <row r="4" spans="1:18" x14ac:dyDescent="0.3">
      <c r="C4" s="3"/>
      <c r="D4" s="3"/>
      <c r="E4" s="3"/>
      <c r="F4" s="3"/>
      <c r="G4" s="3"/>
      <c r="H4" s="3"/>
      <c r="I4" s="3"/>
      <c r="J4" s="21"/>
    </row>
    <row r="6" spans="1:18" x14ac:dyDescent="0.3">
      <c r="K6" s="383" t="s">
        <v>123</v>
      </c>
      <c r="L6" s="384"/>
      <c r="M6" s="384"/>
      <c r="N6" s="384"/>
    </row>
    <row r="7" spans="1:18" x14ac:dyDescent="0.3">
      <c r="B7" s="92" t="s">
        <v>131</v>
      </c>
      <c r="C7" s="92" t="s">
        <v>286</v>
      </c>
      <c r="D7" s="92" t="s">
        <v>128</v>
      </c>
      <c r="E7" s="92" t="s">
        <v>212</v>
      </c>
      <c r="F7" s="92" t="s">
        <v>171</v>
      </c>
      <c r="G7" s="92" t="s">
        <v>289</v>
      </c>
      <c r="H7" s="92" t="s">
        <v>173</v>
      </c>
      <c r="I7" s="92" t="s">
        <v>290</v>
      </c>
      <c r="J7" s="112" t="s">
        <v>362</v>
      </c>
      <c r="K7" s="112" t="s">
        <v>118</v>
      </c>
      <c r="L7" s="111"/>
      <c r="M7" s="111"/>
      <c r="N7" s="111"/>
    </row>
    <row r="8" spans="1:18" x14ac:dyDescent="0.3">
      <c r="B8" s="3"/>
      <c r="C8" s="3" t="s">
        <v>360</v>
      </c>
      <c r="D8" s="3"/>
      <c r="E8" s="3"/>
      <c r="F8" s="3"/>
      <c r="G8" s="3"/>
      <c r="H8" s="3"/>
      <c r="I8" s="3"/>
      <c r="J8" s="3"/>
      <c r="K8" s="3" t="s">
        <v>222</v>
      </c>
      <c r="L8" s="109" t="s">
        <v>356</v>
      </c>
      <c r="M8" s="109" t="s">
        <v>357</v>
      </c>
      <c r="N8" s="3" t="s">
        <v>358</v>
      </c>
    </row>
    <row r="9" spans="1:18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P9" s="3" t="s">
        <v>291</v>
      </c>
    </row>
    <row r="10" spans="1:18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P10" s="71" t="s">
        <v>292</v>
      </c>
    </row>
    <row r="11" spans="1:18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P11" s="71" t="s">
        <v>293</v>
      </c>
    </row>
    <row r="12" spans="1:18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P12" s="71" t="s">
        <v>294</v>
      </c>
    </row>
    <row r="13" spans="1:18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P13" s="71" t="s">
        <v>295</v>
      </c>
    </row>
    <row r="14" spans="1:18" x14ac:dyDescent="0.3">
      <c r="P14" s="71" t="s">
        <v>296</v>
      </c>
    </row>
    <row r="15" spans="1:18" x14ac:dyDescent="0.3">
      <c r="P15" s="71" t="s">
        <v>297</v>
      </c>
    </row>
    <row r="16" spans="1:18" x14ac:dyDescent="0.3">
      <c r="P16" s="71" t="s">
        <v>323</v>
      </c>
    </row>
    <row r="17" spans="3:16" x14ac:dyDescent="0.3">
      <c r="P17" s="71" t="s">
        <v>363</v>
      </c>
    </row>
    <row r="18" spans="3:16" x14ac:dyDescent="0.3">
      <c r="P18" s="72" t="s">
        <v>298</v>
      </c>
    </row>
    <row r="19" spans="3:16" x14ac:dyDescent="0.3">
      <c r="C19" s="43"/>
      <c r="D19" s="44"/>
      <c r="E19" s="44"/>
      <c r="F19" s="44"/>
      <c r="G19" s="44"/>
      <c r="H19" s="44"/>
      <c r="I19" s="45"/>
      <c r="P19" s="72" t="s">
        <v>364</v>
      </c>
    </row>
    <row r="20" spans="3:16" x14ac:dyDescent="0.3">
      <c r="C20" s="46" t="s">
        <v>730</v>
      </c>
      <c r="D20" s="21"/>
      <c r="E20" s="21"/>
      <c r="F20" s="21"/>
      <c r="G20" s="21" t="s">
        <v>747</v>
      </c>
      <c r="H20" s="21"/>
      <c r="I20" s="48"/>
    </row>
    <row r="21" spans="3:16" x14ac:dyDescent="0.3">
      <c r="C21" s="46"/>
      <c r="D21" s="21"/>
      <c r="E21" s="21"/>
      <c r="F21" s="21"/>
      <c r="G21" s="21"/>
      <c r="H21" s="21"/>
      <c r="I21" s="48"/>
    </row>
    <row r="22" spans="3:16" x14ac:dyDescent="0.3">
      <c r="C22" s="3" t="s">
        <v>731</v>
      </c>
      <c r="D22" s="20" t="s">
        <v>732</v>
      </c>
      <c r="E22" s="34"/>
      <c r="F22" s="21"/>
      <c r="G22" s="21"/>
      <c r="H22" s="21"/>
      <c r="I22" s="48"/>
    </row>
    <row r="23" spans="3:16" x14ac:dyDescent="0.3">
      <c r="C23" s="46"/>
      <c r="D23" s="21"/>
      <c r="E23" s="21"/>
      <c r="F23" s="21"/>
      <c r="G23" s="21"/>
      <c r="H23" s="21"/>
      <c r="I23" s="48"/>
    </row>
    <row r="24" spans="3:16" x14ac:dyDescent="0.3">
      <c r="C24" s="46" t="s">
        <v>738</v>
      </c>
      <c r="D24" s="21"/>
      <c r="E24" s="21" t="s">
        <v>740</v>
      </c>
      <c r="F24" s="21"/>
      <c r="G24" s="21" t="s">
        <v>742</v>
      </c>
      <c r="H24" s="21"/>
      <c r="I24" s="48"/>
    </row>
    <row r="25" spans="3:16" x14ac:dyDescent="0.3">
      <c r="C25" s="46"/>
      <c r="D25" s="21"/>
      <c r="E25" s="21"/>
      <c r="F25" s="21"/>
      <c r="G25" s="21"/>
      <c r="H25" s="21"/>
      <c r="I25" s="48"/>
    </row>
    <row r="26" spans="3:16" x14ac:dyDescent="0.3">
      <c r="C26" s="46" t="s">
        <v>739</v>
      </c>
      <c r="D26" s="21"/>
      <c r="E26" s="21" t="s">
        <v>741</v>
      </c>
      <c r="F26" s="21"/>
      <c r="G26" s="21" t="s">
        <v>743</v>
      </c>
      <c r="H26" s="21"/>
      <c r="I26" s="48"/>
    </row>
    <row r="27" spans="3:16" x14ac:dyDescent="0.3">
      <c r="C27" s="46"/>
      <c r="D27" s="21"/>
      <c r="E27" s="21"/>
      <c r="F27" s="21"/>
      <c r="G27" s="21"/>
      <c r="H27" s="21"/>
      <c r="I27" s="48"/>
      <c r="K27" t="s">
        <v>748</v>
      </c>
    </row>
    <row r="28" spans="3:16" x14ac:dyDescent="0.3">
      <c r="C28" s="46" t="s">
        <v>733</v>
      </c>
      <c r="D28" s="21"/>
      <c r="E28" s="21" t="s">
        <v>744</v>
      </c>
      <c r="F28" s="21"/>
      <c r="G28" s="21" t="s">
        <v>745</v>
      </c>
      <c r="H28" s="21"/>
      <c r="I28" s="48"/>
    </row>
    <row r="29" spans="3:16" x14ac:dyDescent="0.3">
      <c r="C29" s="50"/>
      <c r="D29" s="1"/>
      <c r="E29" s="1"/>
      <c r="F29" s="1"/>
      <c r="G29" s="1"/>
      <c r="H29" s="1"/>
      <c r="I29" s="51"/>
    </row>
    <row r="31" spans="3:16" x14ac:dyDescent="0.3">
      <c r="C31" s="211" t="s">
        <v>734</v>
      </c>
    </row>
    <row r="32" spans="3:16" x14ac:dyDescent="0.3">
      <c r="C32" t="s">
        <v>735</v>
      </c>
    </row>
    <row r="33" spans="3:3" x14ac:dyDescent="0.3">
      <c r="C33" t="s">
        <v>736</v>
      </c>
    </row>
    <row r="34" spans="3:3" x14ac:dyDescent="0.3">
      <c r="C34" t="s">
        <v>737</v>
      </c>
    </row>
    <row r="35" spans="3:3" x14ac:dyDescent="0.3">
      <c r="C35" t="s">
        <v>746</v>
      </c>
    </row>
  </sheetData>
  <mergeCells count="1">
    <mergeCell ref="K6:N6"/>
  </mergeCells>
  <hyperlinks>
    <hyperlink ref="A1" location="Menu!A1" display="Menu"/>
    <hyperlink ref="L8" location="Employee_CV!A1" display="CV| "/>
    <hyperlink ref="M8" location="Employee_salary!A1" display="Salary |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5841" r:id="rId3" name="Button 1">
              <controlPr defaultSize="0" print="0" autoFill="0" autoPict="0" macro="[0]!ADD">
                <anchor moveWithCells="1">
                  <from>
                    <xdr:col>10</xdr:col>
                    <xdr:colOff>228600</xdr:colOff>
                    <xdr:row>3</xdr:row>
                    <xdr:rowOff>0</xdr:rowOff>
                  </from>
                  <to>
                    <xdr:col>10</xdr:col>
                    <xdr:colOff>746760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42" r:id="rId4" name="Drop Down 2">
              <controlPr defaultSize="0" autoLine="0" autoPict="0">
                <anchor moveWithCells="1">
                  <from>
                    <xdr:col>5</xdr:col>
                    <xdr:colOff>0</xdr:colOff>
                    <xdr:row>20</xdr:row>
                    <xdr:rowOff>144780</xdr:rowOff>
                  </from>
                  <to>
                    <xdr:col>5</xdr:col>
                    <xdr:colOff>914400</xdr:colOff>
                    <xdr:row>21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0"/>
  <sheetViews>
    <sheetView showGridLines="0" workbookViewId="0">
      <selection activeCell="D19" sqref="D19"/>
    </sheetView>
  </sheetViews>
  <sheetFormatPr defaultRowHeight="14.4" x14ac:dyDescent="0.3"/>
  <cols>
    <col min="3" max="3" width="17.6640625" customWidth="1"/>
    <col min="4" max="4" width="45.109375" customWidth="1"/>
    <col min="6" max="6" width="25.6640625" bestFit="1" customWidth="1"/>
    <col min="7" max="7" width="16.77734375" bestFit="1" customWidth="1"/>
    <col min="8" max="8" width="11.44140625" bestFit="1" customWidth="1"/>
  </cols>
  <sheetData>
    <row r="1" spans="1:6" x14ac:dyDescent="0.3">
      <c r="A1" s="2" t="s">
        <v>119</v>
      </c>
    </row>
    <row r="5" spans="1:6" x14ac:dyDescent="0.3">
      <c r="C5" s="103" t="s">
        <v>287</v>
      </c>
      <c r="D5" s="3"/>
    </row>
    <row r="6" spans="1:6" x14ac:dyDescent="0.3">
      <c r="C6" s="103" t="s">
        <v>299</v>
      </c>
      <c r="D6" s="3"/>
    </row>
    <row r="7" spans="1:6" x14ac:dyDescent="0.3">
      <c r="C7" s="103" t="s">
        <v>288</v>
      </c>
      <c r="D7" s="3"/>
    </row>
    <row r="8" spans="1:6" x14ac:dyDescent="0.3">
      <c r="C8" s="103" t="s">
        <v>300</v>
      </c>
      <c r="D8" s="3"/>
    </row>
    <row r="9" spans="1:6" x14ac:dyDescent="0.3">
      <c r="C9" s="103" t="s">
        <v>301</v>
      </c>
      <c r="D9" s="3"/>
      <c r="F9" s="3" t="s">
        <v>291</v>
      </c>
    </row>
    <row r="10" spans="1:6" x14ac:dyDescent="0.3">
      <c r="C10" s="103" t="s">
        <v>302</v>
      </c>
      <c r="D10" s="3"/>
      <c r="F10" s="71" t="s">
        <v>292</v>
      </c>
    </row>
    <row r="11" spans="1:6" x14ac:dyDescent="0.3">
      <c r="C11" s="103" t="s">
        <v>312</v>
      </c>
      <c r="F11" s="71" t="s">
        <v>306</v>
      </c>
    </row>
    <row r="12" spans="1:6" x14ac:dyDescent="0.3">
      <c r="C12" s="103" t="s">
        <v>303</v>
      </c>
      <c r="D12" s="3"/>
      <c r="F12" s="71" t="s">
        <v>307</v>
      </c>
    </row>
    <row r="13" spans="1:6" x14ac:dyDescent="0.3">
      <c r="C13" s="104" t="s">
        <v>304</v>
      </c>
      <c r="D13" s="3"/>
      <c r="F13" s="71" t="s">
        <v>308</v>
      </c>
    </row>
    <row r="14" spans="1:6" x14ac:dyDescent="0.3">
      <c r="C14" s="104" t="s">
        <v>305</v>
      </c>
      <c r="D14" s="3"/>
      <c r="F14" s="71" t="s">
        <v>309</v>
      </c>
    </row>
    <row r="15" spans="1:6" x14ac:dyDescent="0.3">
      <c r="F15" s="71" t="s">
        <v>310</v>
      </c>
    </row>
    <row r="16" spans="1:6" x14ac:dyDescent="0.3">
      <c r="F16" s="71" t="s">
        <v>311</v>
      </c>
    </row>
    <row r="17" spans="4:6" x14ac:dyDescent="0.3">
      <c r="F17" s="71" t="s">
        <v>313</v>
      </c>
    </row>
    <row r="18" spans="4:6" x14ac:dyDescent="0.3">
      <c r="F18" s="71" t="s">
        <v>314</v>
      </c>
    </row>
    <row r="19" spans="4:6" x14ac:dyDescent="0.3">
      <c r="D19" s="2" t="s">
        <v>176</v>
      </c>
      <c r="F19" s="71" t="s">
        <v>315</v>
      </c>
    </row>
    <row r="20" spans="4:6" x14ac:dyDescent="0.3">
      <c r="F20" s="71" t="s">
        <v>316</v>
      </c>
    </row>
  </sheetData>
  <hyperlinks>
    <hyperlink ref="A1" location="Menu!A1" display="Menu"/>
    <hyperlink ref="D19" location="Employee!A1" display="Back to list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6866" r:id="rId3" name="Button 2">
              <controlPr defaultSize="0" print="0" autoFill="0" autoPict="0" macro="[0]!ADD">
                <anchor moveWithCells="1">
                  <from>
                    <xdr:col>3</xdr:col>
                    <xdr:colOff>2461260</xdr:colOff>
                    <xdr:row>14</xdr:row>
                    <xdr:rowOff>99060</xdr:rowOff>
                  </from>
                  <to>
                    <xdr:col>3</xdr:col>
                    <xdr:colOff>2979420</xdr:colOff>
                    <xdr:row>15</xdr:row>
                    <xdr:rowOff>137160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8"/>
  <sheetViews>
    <sheetView showGridLines="0" workbookViewId="0">
      <selection activeCell="D18" sqref="D18"/>
    </sheetView>
  </sheetViews>
  <sheetFormatPr defaultRowHeight="14.4" x14ac:dyDescent="0.3"/>
  <cols>
    <col min="3" max="3" width="17.6640625" customWidth="1"/>
    <col min="4" max="4" width="45.109375" customWidth="1"/>
    <col min="6" max="6" width="25.6640625" bestFit="1" customWidth="1"/>
    <col min="7" max="7" width="16.77734375" bestFit="1" customWidth="1"/>
    <col min="8" max="8" width="11.44140625" bestFit="1" customWidth="1"/>
  </cols>
  <sheetData>
    <row r="1" spans="1:6" x14ac:dyDescent="0.3">
      <c r="A1" s="2" t="s">
        <v>119</v>
      </c>
    </row>
    <row r="5" spans="1:6" x14ac:dyDescent="0.3">
      <c r="C5" s="103" t="s">
        <v>318</v>
      </c>
      <c r="D5" s="3"/>
    </row>
    <row r="6" spans="1:6" x14ac:dyDescent="0.3">
      <c r="C6" s="103" t="s">
        <v>319</v>
      </c>
      <c r="D6" s="3"/>
    </row>
    <row r="7" spans="1:6" x14ac:dyDescent="0.3">
      <c r="C7" s="103" t="s">
        <v>320</v>
      </c>
      <c r="D7" s="3"/>
    </row>
    <row r="8" spans="1:6" x14ac:dyDescent="0.3">
      <c r="C8" s="103" t="s">
        <v>321</v>
      </c>
      <c r="D8" s="3"/>
    </row>
    <row r="9" spans="1:6" x14ac:dyDescent="0.3">
      <c r="C9" s="103" t="s">
        <v>324</v>
      </c>
      <c r="D9" s="3"/>
      <c r="F9" s="3" t="s">
        <v>291</v>
      </c>
    </row>
    <row r="10" spans="1:6" x14ac:dyDescent="0.3">
      <c r="C10" s="103" t="s">
        <v>325</v>
      </c>
      <c r="D10" s="3"/>
      <c r="F10" s="71" t="s">
        <v>292</v>
      </c>
    </row>
    <row r="11" spans="1:6" x14ac:dyDescent="0.3">
      <c r="C11" s="103" t="s">
        <v>326</v>
      </c>
      <c r="D11" s="3" t="s">
        <v>359</v>
      </c>
      <c r="F11" s="71" t="s">
        <v>317</v>
      </c>
    </row>
    <row r="12" spans="1:6" x14ac:dyDescent="0.3">
      <c r="C12" s="105"/>
      <c r="D12" s="21"/>
      <c r="F12" s="71" t="s">
        <v>327</v>
      </c>
    </row>
    <row r="13" spans="1:6" x14ac:dyDescent="0.3">
      <c r="C13" s="105"/>
      <c r="D13" s="21"/>
      <c r="F13" s="71" t="s">
        <v>328</v>
      </c>
    </row>
    <row r="14" spans="1:6" x14ac:dyDescent="0.3">
      <c r="C14" s="105"/>
      <c r="D14" s="21"/>
      <c r="F14" s="71" t="s">
        <v>329</v>
      </c>
    </row>
    <row r="15" spans="1:6" x14ac:dyDescent="0.3">
      <c r="F15" s="71" t="s">
        <v>330</v>
      </c>
    </row>
    <row r="16" spans="1:6" x14ac:dyDescent="0.3">
      <c r="F16" s="71" t="s">
        <v>331</v>
      </c>
    </row>
    <row r="18" spans="4:4" x14ac:dyDescent="0.3">
      <c r="D18" s="2" t="s">
        <v>176</v>
      </c>
    </row>
  </sheetData>
  <hyperlinks>
    <hyperlink ref="A1" location="Menu!A1" display="Menu"/>
    <hyperlink ref="D18" location="Employee!A1" display="Back to list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7889" r:id="rId3" name="Button 1">
              <controlPr defaultSize="0" print="0" autoFill="0" autoPict="0" macro="[0]!ADD">
                <anchor moveWithCells="1">
                  <from>
                    <xdr:col>3</xdr:col>
                    <xdr:colOff>2560320</xdr:colOff>
                    <xdr:row>11</xdr:row>
                    <xdr:rowOff>106680</xdr:rowOff>
                  </from>
                  <to>
                    <xdr:col>3</xdr:col>
                    <xdr:colOff>3078480</xdr:colOff>
                    <xdr:row>12</xdr:row>
                    <xdr:rowOff>144780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Views>
    <sheetView showGridLines="0" workbookViewId="0"/>
  </sheetViews>
  <sheetFormatPr defaultRowHeight="14.4" x14ac:dyDescent="0.3"/>
  <cols>
    <col min="2" max="2" width="4.5546875" customWidth="1"/>
    <col min="3" max="3" width="17.6640625" customWidth="1"/>
    <col min="4" max="4" width="38.88671875" customWidth="1"/>
    <col min="5" max="5" width="2" customWidth="1"/>
    <col min="6" max="6" width="16.77734375" bestFit="1" customWidth="1"/>
    <col min="7" max="7" width="11.44140625" bestFit="1" customWidth="1"/>
    <col min="8" max="8" width="10.77734375" customWidth="1"/>
    <col min="9" max="9" width="4.5546875" customWidth="1"/>
    <col min="10" max="10" width="13.33203125" bestFit="1" customWidth="1"/>
    <col min="11" max="11" width="23" customWidth="1"/>
    <col min="12" max="12" width="1.77734375" customWidth="1"/>
    <col min="13" max="13" width="5.33203125" customWidth="1"/>
    <col min="14" max="14" width="13.77734375" bestFit="1" customWidth="1"/>
    <col min="15" max="15" width="21.5546875" bestFit="1" customWidth="1"/>
    <col min="17" max="17" width="13.77734375" bestFit="1" customWidth="1"/>
    <col min="18" max="18" width="19.44140625" bestFit="1" customWidth="1"/>
  </cols>
  <sheetData>
    <row r="1" spans="1:19" x14ac:dyDescent="0.3">
      <c r="A1" s="2" t="s">
        <v>119</v>
      </c>
    </row>
    <row r="3" spans="1:19" x14ac:dyDescent="0.3">
      <c r="N3" s="394" t="s">
        <v>1216</v>
      </c>
      <c r="O3" s="394"/>
    </row>
    <row r="4" spans="1:19" x14ac:dyDescent="0.3">
      <c r="C4" s="389" t="s">
        <v>1196</v>
      </c>
      <c r="D4" s="390"/>
      <c r="F4" s="389" t="s">
        <v>1205</v>
      </c>
      <c r="G4" s="390"/>
      <c r="H4" s="391"/>
      <c r="J4" s="389" t="s">
        <v>1210</v>
      </c>
      <c r="K4" s="390"/>
      <c r="N4" s="388" t="s">
        <v>1197</v>
      </c>
      <c r="O4" s="21" t="s">
        <v>1217</v>
      </c>
      <c r="Q4" s="389" t="s">
        <v>1494</v>
      </c>
      <c r="R4" s="390"/>
    </row>
    <row r="5" spans="1:19" x14ac:dyDescent="0.3">
      <c r="C5" s="387" t="s">
        <v>1197</v>
      </c>
      <c r="D5" s="45" t="s">
        <v>1198</v>
      </c>
      <c r="F5" s="361" t="s">
        <v>1197</v>
      </c>
      <c r="G5" t="s">
        <v>1206</v>
      </c>
      <c r="H5" s="45"/>
      <c r="J5" s="388" t="s">
        <v>1197</v>
      </c>
      <c r="K5" t="s">
        <v>1211</v>
      </c>
      <c r="N5" s="388"/>
      <c r="O5" s="21" t="s">
        <v>1218</v>
      </c>
      <c r="Q5" s="388" t="s">
        <v>1197</v>
      </c>
      <c r="R5" t="s">
        <v>1495</v>
      </c>
    </row>
    <row r="6" spans="1:19" x14ac:dyDescent="0.3">
      <c r="C6" s="388"/>
      <c r="D6" s="48" t="s">
        <v>1199</v>
      </c>
      <c r="F6" s="362"/>
      <c r="G6" t="s">
        <v>1207</v>
      </c>
      <c r="H6" s="48"/>
      <c r="J6" s="388"/>
      <c r="K6" t="s">
        <v>1212</v>
      </c>
      <c r="N6" s="46"/>
      <c r="O6" s="21" t="s">
        <v>1219</v>
      </c>
      <c r="Q6" s="388"/>
    </row>
    <row r="7" spans="1:19" x14ac:dyDescent="0.3">
      <c r="C7" s="50"/>
      <c r="D7" s="51"/>
      <c r="F7" s="71"/>
      <c r="G7" t="s">
        <v>1208</v>
      </c>
      <c r="H7" s="48"/>
      <c r="N7" s="132" t="s">
        <v>1201</v>
      </c>
      <c r="O7" s="109" t="s">
        <v>1220</v>
      </c>
    </row>
    <row r="8" spans="1:19" x14ac:dyDescent="0.3">
      <c r="C8" s="132" t="s">
        <v>1201</v>
      </c>
      <c r="D8" s="109" t="s">
        <v>1200</v>
      </c>
      <c r="F8" s="71"/>
      <c r="G8" t="s">
        <v>1221</v>
      </c>
      <c r="H8" s="48"/>
      <c r="J8" s="132" t="s">
        <v>1201</v>
      </c>
      <c r="K8" s="109" t="s">
        <v>1215</v>
      </c>
      <c r="N8" s="132" t="s">
        <v>1202</v>
      </c>
      <c r="O8" s="109" t="s">
        <v>1220</v>
      </c>
      <c r="Q8" s="132" t="s">
        <v>1201</v>
      </c>
      <c r="R8" s="109" t="s">
        <v>1496</v>
      </c>
    </row>
    <row r="9" spans="1:19" ht="43.2" x14ac:dyDescent="0.3">
      <c r="C9" s="132" t="s">
        <v>1202</v>
      </c>
      <c r="D9" s="109" t="s">
        <v>1200</v>
      </c>
      <c r="F9" s="72"/>
      <c r="G9" s="300" t="s">
        <v>1493</v>
      </c>
      <c r="H9" s="51"/>
      <c r="J9" s="132" t="s">
        <v>1202</v>
      </c>
      <c r="K9" s="109" t="s">
        <v>1215</v>
      </c>
      <c r="N9" s="315" t="s">
        <v>1203</v>
      </c>
      <c r="O9" s="100" t="s">
        <v>1204</v>
      </c>
      <c r="Q9" s="132" t="s">
        <v>1202</v>
      </c>
      <c r="R9" s="109" t="s">
        <v>1496</v>
      </c>
    </row>
    <row r="10" spans="1:19" ht="43.2" x14ac:dyDescent="0.3">
      <c r="C10" s="315" t="s">
        <v>1203</v>
      </c>
      <c r="D10" s="100" t="s">
        <v>1204</v>
      </c>
      <c r="F10" s="315" t="s">
        <v>1201</v>
      </c>
      <c r="G10" s="316" t="s">
        <v>1209</v>
      </c>
      <c r="H10" s="3"/>
      <c r="J10" s="315" t="s">
        <v>1203</v>
      </c>
      <c r="K10" s="100" t="s">
        <v>1214</v>
      </c>
      <c r="Q10" s="315" t="s">
        <v>1203</v>
      </c>
      <c r="R10" s="100" t="s">
        <v>1497</v>
      </c>
    </row>
    <row r="11" spans="1:19" x14ac:dyDescent="0.3">
      <c r="C11" s="50"/>
      <c r="D11" s="1"/>
      <c r="F11" s="132" t="s">
        <v>1202</v>
      </c>
      <c r="G11" s="109" t="s">
        <v>1209</v>
      </c>
      <c r="H11" s="3"/>
      <c r="N11" t="s">
        <v>1228</v>
      </c>
    </row>
    <row r="12" spans="1:19" ht="57.6" customHeight="1" x14ac:dyDescent="0.3">
      <c r="F12" s="315" t="s">
        <v>1203</v>
      </c>
      <c r="G12" s="392" t="s">
        <v>1213</v>
      </c>
      <c r="H12" s="393"/>
      <c r="N12" s="20"/>
      <c r="O12" s="34"/>
    </row>
    <row r="13" spans="1:19" x14ac:dyDescent="0.3">
      <c r="C13" t="s">
        <v>1503</v>
      </c>
    </row>
    <row r="14" spans="1:19" x14ac:dyDescent="0.3">
      <c r="C14" s="43" t="s">
        <v>1500</v>
      </c>
      <c r="D14" s="45"/>
      <c r="F14" t="s">
        <v>1222</v>
      </c>
      <c r="J14" t="s">
        <v>1226</v>
      </c>
      <c r="N14" t="s">
        <v>1229</v>
      </c>
      <c r="Q14" t="s">
        <v>1498</v>
      </c>
    </row>
    <row r="15" spans="1:19" x14ac:dyDescent="0.3">
      <c r="C15" s="46" t="s">
        <v>1502</v>
      </c>
      <c r="D15" s="48"/>
      <c r="F15" s="43"/>
      <c r="G15" s="44"/>
      <c r="H15" s="45"/>
      <c r="J15" s="43"/>
      <c r="K15" s="45"/>
      <c r="N15" s="43"/>
      <c r="O15" s="45"/>
      <c r="Q15" s="43"/>
      <c r="R15" s="44"/>
      <c r="S15" s="45"/>
    </row>
    <row r="16" spans="1:19" x14ac:dyDescent="0.3">
      <c r="C16" s="46"/>
      <c r="D16" s="48"/>
      <c r="F16" s="46"/>
      <c r="G16" s="21"/>
      <c r="H16" s="48"/>
      <c r="J16" s="46"/>
      <c r="K16" s="48"/>
      <c r="N16" s="46"/>
      <c r="O16" s="48"/>
      <c r="Q16" s="46"/>
      <c r="R16" s="21"/>
      <c r="S16" s="48"/>
    </row>
    <row r="17" spans="3:19" x14ac:dyDescent="0.3">
      <c r="C17" s="50"/>
      <c r="D17" s="51"/>
      <c r="F17" s="46"/>
      <c r="G17" s="21"/>
      <c r="H17" s="48"/>
      <c r="J17" s="46"/>
      <c r="K17" s="48"/>
      <c r="N17" s="46"/>
      <c r="O17" s="48"/>
      <c r="Q17" s="46"/>
      <c r="R17" s="21"/>
      <c r="S17" s="48"/>
    </row>
    <row r="18" spans="3:19" x14ac:dyDescent="0.3">
      <c r="F18" s="50"/>
      <c r="G18" s="1"/>
      <c r="H18" s="51"/>
      <c r="J18" s="50"/>
      <c r="K18" s="51"/>
      <c r="N18" s="50"/>
      <c r="O18" s="51"/>
      <c r="Q18" s="50"/>
      <c r="R18" s="1"/>
      <c r="S18" s="51"/>
    </row>
    <row r="19" spans="3:19" x14ac:dyDescent="0.3">
      <c r="C19" t="s">
        <v>1504</v>
      </c>
    </row>
    <row r="20" spans="3:19" x14ac:dyDescent="0.3">
      <c r="C20" s="43" t="s">
        <v>1500</v>
      </c>
      <c r="D20" s="45"/>
      <c r="F20" t="s">
        <v>1223</v>
      </c>
      <c r="J20" t="s">
        <v>1227</v>
      </c>
      <c r="N20" t="s">
        <v>1230</v>
      </c>
    </row>
    <row r="21" spans="3:19" x14ac:dyDescent="0.3">
      <c r="C21" s="46" t="s">
        <v>1501</v>
      </c>
      <c r="D21" s="48"/>
      <c r="F21" s="43"/>
      <c r="G21" s="44"/>
      <c r="H21" s="45"/>
      <c r="J21" s="43"/>
      <c r="K21" s="45"/>
      <c r="N21" s="43"/>
      <c r="O21" s="45"/>
    </row>
    <row r="22" spans="3:19" x14ac:dyDescent="0.3">
      <c r="C22" s="46"/>
      <c r="D22" s="48"/>
      <c r="F22" s="46"/>
      <c r="G22" s="21"/>
      <c r="H22" s="48"/>
      <c r="J22" s="46"/>
      <c r="K22" s="48"/>
      <c r="N22" s="46"/>
      <c r="O22" s="48"/>
    </row>
    <row r="23" spans="3:19" x14ac:dyDescent="0.3">
      <c r="C23" s="50"/>
      <c r="D23" s="51"/>
      <c r="F23" s="46"/>
      <c r="G23" s="21"/>
      <c r="H23" s="48"/>
      <c r="J23" s="46"/>
      <c r="K23" s="48"/>
      <c r="N23" s="46"/>
      <c r="O23" s="48"/>
    </row>
    <row r="24" spans="3:19" x14ac:dyDescent="0.3">
      <c r="F24" s="50"/>
      <c r="G24" s="1"/>
      <c r="H24" s="51"/>
      <c r="J24" s="50"/>
      <c r="K24" s="51"/>
      <c r="N24" s="50"/>
      <c r="O24" s="51"/>
    </row>
    <row r="26" spans="3:19" x14ac:dyDescent="0.3">
      <c r="F26" t="s">
        <v>1224</v>
      </c>
    </row>
    <row r="27" spans="3:19" x14ac:dyDescent="0.3">
      <c r="F27" s="43"/>
      <c r="G27" s="44"/>
      <c r="H27" s="45"/>
    </row>
    <row r="28" spans="3:19" x14ac:dyDescent="0.3">
      <c r="F28" s="46"/>
      <c r="G28" s="21"/>
      <c r="H28" s="48"/>
    </row>
    <row r="29" spans="3:19" x14ac:dyDescent="0.3">
      <c r="F29" s="46"/>
      <c r="G29" s="21"/>
      <c r="H29" s="48"/>
    </row>
    <row r="30" spans="3:19" x14ac:dyDescent="0.3">
      <c r="F30" s="50"/>
      <c r="G30" s="1"/>
      <c r="H30" s="51"/>
    </row>
    <row r="32" spans="3:19" x14ac:dyDescent="0.3">
      <c r="F32" t="s">
        <v>1225</v>
      </c>
    </row>
    <row r="33" spans="6:8" x14ac:dyDescent="0.3">
      <c r="F33" s="43"/>
      <c r="G33" s="44"/>
      <c r="H33" s="45"/>
    </row>
    <row r="34" spans="6:8" x14ac:dyDescent="0.3">
      <c r="F34" s="46"/>
      <c r="G34" s="21"/>
      <c r="H34" s="48"/>
    </row>
    <row r="35" spans="6:8" x14ac:dyDescent="0.3">
      <c r="F35" s="46"/>
      <c r="G35" s="21"/>
      <c r="H35" s="48"/>
    </row>
    <row r="36" spans="6:8" x14ac:dyDescent="0.3">
      <c r="F36" s="46"/>
      <c r="G36" s="21"/>
      <c r="H36" s="48"/>
    </row>
    <row r="37" spans="6:8" x14ac:dyDescent="0.3">
      <c r="F37" s="50"/>
      <c r="G37" s="1"/>
      <c r="H37" s="51"/>
    </row>
  </sheetData>
  <mergeCells count="11">
    <mergeCell ref="G12:H12"/>
    <mergeCell ref="J4:K4"/>
    <mergeCell ref="J5:J6"/>
    <mergeCell ref="N3:O3"/>
    <mergeCell ref="N4:N5"/>
    <mergeCell ref="C5:C6"/>
    <mergeCell ref="C4:D4"/>
    <mergeCell ref="F4:H4"/>
    <mergeCell ref="F5:F6"/>
    <mergeCell ref="Q4:R4"/>
    <mergeCell ref="Q5:Q6"/>
  </mergeCells>
  <hyperlinks>
    <hyperlink ref="A1" location="Menu!A1" display="Menu"/>
    <hyperlink ref="D8" r:id="rId1"/>
    <hyperlink ref="D9" r:id="rId2"/>
    <hyperlink ref="G10" r:id="rId3"/>
    <hyperlink ref="G11" r:id="rId4"/>
    <hyperlink ref="K8" r:id="rId5"/>
    <hyperlink ref="K9" r:id="rId6"/>
    <hyperlink ref="O7" r:id="rId7"/>
    <hyperlink ref="O8" r:id="rId8"/>
    <hyperlink ref="R8" r:id="rId9"/>
    <hyperlink ref="R9" r:id="rId10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showGridLines="0" workbookViewId="0"/>
  </sheetViews>
  <sheetFormatPr defaultRowHeight="14.4" x14ac:dyDescent="0.3"/>
  <cols>
    <col min="3" max="3" width="11.44140625" bestFit="1" customWidth="1"/>
  </cols>
  <sheetData>
    <row r="1" spans="1:6" x14ac:dyDescent="0.3">
      <c r="A1" s="2" t="s">
        <v>119</v>
      </c>
    </row>
    <row r="5" spans="1:6" x14ac:dyDescent="0.3">
      <c r="C5" s="32" t="s">
        <v>1168</v>
      </c>
      <c r="D5" s="20"/>
      <c r="E5" s="33"/>
      <c r="F5" s="34"/>
    </row>
    <row r="6" spans="1:6" x14ac:dyDescent="0.3">
      <c r="C6" s="32" t="s">
        <v>1169</v>
      </c>
      <c r="D6" s="20"/>
      <c r="E6" s="33"/>
      <c r="F6" s="34"/>
    </row>
    <row r="7" spans="1:6" x14ac:dyDescent="0.3">
      <c r="C7" s="32" t="s">
        <v>196</v>
      </c>
      <c r="D7" s="20"/>
      <c r="E7" s="33"/>
      <c r="F7" s="34"/>
    </row>
    <row r="8" spans="1:6" x14ac:dyDescent="0.3">
      <c r="C8" s="32" t="s">
        <v>1170</v>
      </c>
      <c r="D8" s="20"/>
      <c r="E8" s="33"/>
      <c r="F8" s="34"/>
    </row>
    <row r="9" spans="1:6" x14ac:dyDescent="0.3">
      <c r="C9" s="32" t="s">
        <v>1171</v>
      </c>
      <c r="D9" s="20"/>
      <c r="E9" s="33"/>
      <c r="F9" s="34"/>
    </row>
    <row r="10" spans="1:6" x14ac:dyDescent="0.3">
      <c r="C10" s="32" t="s">
        <v>1172</v>
      </c>
      <c r="D10" s="20"/>
      <c r="E10" s="33"/>
      <c r="F10" s="34"/>
    </row>
    <row r="12" spans="1:6" x14ac:dyDescent="0.3">
      <c r="F12" t="s">
        <v>106</v>
      </c>
    </row>
  </sheetData>
  <hyperlinks>
    <hyperlink ref="A1" location="Menu!A1" display="Menu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workbookViewId="0"/>
  </sheetViews>
  <sheetFormatPr defaultRowHeight="14.4" x14ac:dyDescent="0.3"/>
  <cols>
    <col min="3" max="3" width="11.44140625" bestFit="1" customWidth="1"/>
    <col min="4" max="4" width="11" bestFit="1" customWidth="1"/>
  </cols>
  <sheetData>
    <row r="1" spans="1:6" x14ac:dyDescent="0.3">
      <c r="A1" s="2" t="s">
        <v>119</v>
      </c>
    </row>
    <row r="5" spans="1:6" x14ac:dyDescent="0.3">
      <c r="C5" s="32" t="s">
        <v>1167</v>
      </c>
      <c r="D5" s="20" t="s">
        <v>523</v>
      </c>
      <c r="E5" s="33"/>
      <c r="F5" s="34"/>
    </row>
    <row r="6" spans="1:6" x14ac:dyDescent="0.3">
      <c r="C6" s="32" t="s">
        <v>1175</v>
      </c>
      <c r="D6" s="314" t="s">
        <v>1176</v>
      </c>
      <c r="E6" s="33"/>
      <c r="F6" s="34"/>
    </row>
    <row r="7" spans="1:6" x14ac:dyDescent="0.3">
      <c r="C7" s="32" t="s">
        <v>1173</v>
      </c>
      <c r="D7" s="20" t="s">
        <v>1177</v>
      </c>
      <c r="E7" s="33"/>
      <c r="F7" s="34"/>
    </row>
    <row r="8" spans="1:6" x14ac:dyDescent="0.3">
      <c r="C8" s="32" t="s">
        <v>1174</v>
      </c>
      <c r="D8" s="20" t="s">
        <v>1178</v>
      </c>
      <c r="E8" s="33"/>
      <c r="F8" s="34"/>
    </row>
    <row r="9" spans="1:6" x14ac:dyDescent="0.3">
      <c r="C9" s="32" t="s">
        <v>196</v>
      </c>
      <c r="D9" s="20" t="s">
        <v>1179</v>
      </c>
      <c r="E9" s="33"/>
      <c r="F9" s="34"/>
    </row>
    <row r="10" spans="1:6" x14ac:dyDescent="0.3">
      <c r="C10" s="32" t="s">
        <v>1170</v>
      </c>
      <c r="D10" s="20" t="s">
        <v>1180</v>
      </c>
      <c r="E10" s="33"/>
      <c r="F10" s="34"/>
    </row>
    <row r="11" spans="1:6" x14ac:dyDescent="0.3">
      <c r="C11" s="32" t="s">
        <v>1171</v>
      </c>
      <c r="D11" s="314" t="s">
        <v>1181</v>
      </c>
      <c r="E11" s="33"/>
      <c r="F11" s="34"/>
    </row>
    <row r="12" spans="1:6" x14ac:dyDescent="0.3">
      <c r="C12" s="32" t="s">
        <v>1172</v>
      </c>
      <c r="D12" s="20"/>
      <c r="E12" s="33"/>
      <c r="F12" s="34"/>
    </row>
    <row r="14" spans="1:6" x14ac:dyDescent="0.3">
      <c r="F14" s="73" t="s">
        <v>106</v>
      </c>
    </row>
  </sheetData>
  <hyperlinks>
    <hyperlink ref="A1" location="Menu!A1" display="Menu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showGridLines="0" workbookViewId="0"/>
  </sheetViews>
  <sheetFormatPr defaultRowHeight="14.4" x14ac:dyDescent="0.3"/>
  <cols>
    <col min="3" max="3" width="11.21875" bestFit="1" customWidth="1"/>
    <col min="5" max="5" width="19.109375" bestFit="1" customWidth="1"/>
    <col min="7" max="7" width="15.88671875" bestFit="1" customWidth="1"/>
    <col min="8" max="8" width="18.109375" customWidth="1"/>
    <col min="11" max="11" width="11.33203125" bestFit="1" customWidth="1"/>
  </cols>
  <sheetData>
    <row r="1" spans="1:12" x14ac:dyDescent="0.3">
      <c r="A1" s="2" t="s">
        <v>33</v>
      </c>
    </row>
    <row r="2" spans="1:12" x14ac:dyDescent="0.3">
      <c r="C2" t="s">
        <v>1565</v>
      </c>
      <c r="D2" s="20"/>
      <c r="E2" s="34"/>
      <c r="F2" t="s">
        <v>1566</v>
      </c>
      <c r="G2" s="3"/>
      <c r="H2" t="s">
        <v>1567</v>
      </c>
    </row>
    <row r="4" spans="1:12" x14ac:dyDescent="0.3">
      <c r="C4" s="3" t="s">
        <v>1568</v>
      </c>
      <c r="E4" s="3" t="s">
        <v>1569</v>
      </c>
      <c r="G4" s="3" t="s">
        <v>1570</v>
      </c>
      <c r="H4" s="3" t="s">
        <v>1571</v>
      </c>
    </row>
    <row r="5" spans="1:12" x14ac:dyDescent="0.3">
      <c r="C5" s="3"/>
      <c r="E5" s="72"/>
      <c r="G5" s="3"/>
      <c r="H5" s="3"/>
    </row>
    <row r="7" spans="1:12" x14ac:dyDescent="0.3">
      <c r="C7" s="3" t="s">
        <v>1572</v>
      </c>
      <c r="E7" s="3" t="s">
        <v>1573</v>
      </c>
    </row>
    <row r="8" spans="1:12" x14ac:dyDescent="0.3">
      <c r="C8" s="3"/>
      <c r="E8" s="3"/>
    </row>
    <row r="13" spans="1:12" x14ac:dyDescent="0.3">
      <c r="B13" s="3" t="s">
        <v>1562</v>
      </c>
      <c r="C13" s="3" t="s">
        <v>113</v>
      </c>
      <c r="D13" s="3" t="s">
        <v>92</v>
      </c>
      <c r="E13" s="3" t="s">
        <v>34</v>
      </c>
      <c r="F13" s="3" t="s">
        <v>35</v>
      </c>
      <c r="G13" s="3" t="s">
        <v>114</v>
      </c>
      <c r="H13" s="3" t="s">
        <v>1563</v>
      </c>
      <c r="I13" s="3" t="s">
        <v>96</v>
      </c>
      <c r="J13" s="3" t="s">
        <v>440</v>
      </c>
      <c r="K13" s="3" t="s">
        <v>1564</v>
      </c>
      <c r="L13" s="3" t="s">
        <v>111</v>
      </c>
    </row>
    <row r="14" spans="1:12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2:12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2:12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2:12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2:12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2:12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2:12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2:12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2:12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2:12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</sheetData>
  <hyperlinks>
    <hyperlink ref="A1" location="Menu!A1" display="menu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88</vt:i4>
      </vt:variant>
    </vt:vector>
  </HeadingPairs>
  <TitlesOfParts>
    <vt:vector size="88" baseType="lpstr">
      <vt:lpstr>Menu</vt:lpstr>
      <vt:lpstr>Tarrif</vt:lpstr>
      <vt:lpstr>Report</vt:lpstr>
      <vt:lpstr>SF Purchase FCL</vt:lpstr>
      <vt:lpstr>SF PRICE ADD-FCL</vt:lpstr>
      <vt:lpstr>SF FCL List</vt:lpstr>
      <vt:lpstr>SF Purchase LCL</vt:lpstr>
      <vt:lpstr>SF Price ADD-on LCL</vt:lpstr>
      <vt:lpstr>SF LCL List</vt:lpstr>
      <vt:lpstr>AF Purchase</vt:lpstr>
      <vt:lpstr>AF Price Add-on</vt:lpstr>
      <vt:lpstr>AF Price List</vt:lpstr>
      <vt:lpstr>New Inquiry</vt:lpstr>
      <vt:lpstr>Inquiry List</vt:lpstr>
      <vt:lpstr>Inquiry List for Agent</vt:lpstr>
      <vt:lpstr>Price Check</vt:lpstr>
      <vt:lpstr>Quotation</vt:lpstr>
      <vt:lpstr>Quotation PDF for emal</vt:lpstr>
      <vt:lpstr>Quotation List</vt:lpstr>
      <vt:lpstr>Shipment Booking-Sea</vt:lpstr>
      <vt:lpstr>Shipment Booking-Air</vt:lpstr>
      <vt:lpstr>Shipment Booking List</vt:lpstr>
      <vt:lpstr>Shipment Booking View</vt:lpstr>
      <vt:lpstr>Vessel Booking</vt:lpstr>
      <vt:lpstr>Flight Booking </vt:lpstr>
      <vt:lpstr>Vessel Booking approval</vt:lpstr>
      <vt:lpstr>Flight Booking approval</vt:lpstr>
      <vt:lpstr>Shipping Order-Sea</vt:lpstr>
      <vt:lpstr>Shipping Order-Air</vt:lpstr>
      <vt:lpstr>Cargo Receipt</vt:lpstr>
      <vt:lpstr>Stock</vt:lpstr>
      <vt:lpstr>CLP-sea</vt:lpstr>
      <vt:lpstr>CLP-sea list</vt:lpstr>
      <vt:lpstr>VGM</vt:lpstr>
      <vt:lpstr>EGM)</vt:lpstr>
      <vt:lpstr>Shipment Advise.-Sea</vt:lpstr>
      <vt:lpstr>Shipment Advise-Air</vt:lpstr>
      <vt:lpstr>Depart-Arrival Landing page</vt:lpstr>
      <vt:lpstr>Onboard confirmation-Sea</vt:lpstr>
      <vt:lpstr>Onboard confirmation-Air</vt:lpstr>
      <vt:lpstr>Pre Alert-Sea</vt:lpstr>
      <vt:lpstr>Trasnshipment con-sea</vt:lpstr>
      <vt:lpstr>Trasnshipment con-air</vt:lpstr>
      <vt:lpstr>Arrival-Sea</vt:lpstr>
      <vt:lpstr>Arrival-Air</vt:lpstr>
      <vt:lpstr>IGM Update</vt:lpstr>
      <vt:lpstr>DO issue</vt:lpstr>
      <vt:lpstr>BL Draft-outbound</vt:lpstr>
      <vt:lpstr>Copy doc upload</vt:lpstr>
      <vt:lpstr>BL Draft-outbound-Customer</vt:lpstr>
      <vt:lpstr>Awaiting Debit Note</vt:lpstr>
      <vt:lpstr>Credit Invoice</vt:lpstr>
      <vt:lpstr>Debit Invoice</vt:lpstr>
      <vt:lpstr>Receiveable-Payable list</vt:lpstr>
      <vt:lpstr>Chart of accounts</vt:lpstr>
      <vt:lpstr>Journal</vt:lpstr>
      <vt:lpstr>Expense-Vendor</vt:lpstr>
      <vt:lpstr>Expense-regular</vt:lpstr>
      <vt:lpstr>Income</vt:lpstr>
      <vt:lpstr>Income-Other</vt:lpstr>
      <vt:lpstr>Internal Transfer</vt:lpstr>
      <vt:lpstr>Income statement</vt:lpstr>
      <vt:lpstr>Shipment Profitabilit</vt:lpstr>
      <vt:lpstr>sea-airport list</vt:lpstr>
      <vt:lpstr>cost Head</vt:lpstr>
      <vt:lpstr>Currency</vt:lpstr>
      <vt:lpstr>Vessel</vt:lpstr>
      <vt:lpstr>Carrier</vt:lpstr>
      <vt:lpstr>Carrier_PIC</vt:lpstr>
      <vt:lpstr>Carrier Service Port</vt:lpstr>
      <vt:lpstr>Carrier Service Port_pair</vt:lpstr>
      <vt:lpstr>Vendor</vt:lpstr>
      <vt:lpstr>Vendor_Contact_Person</vt:lpstr>
      <vt:lpstr>Industry_Sector_Catagory</vt:lpstr>
      <vt:lpstr>Commodity_Catagory_Item_List</vt:lpstr>
      <vt:lpstr>Local Sales</vt:lpstr>
      <vt:lpstr>Business Matrix</vt:lpstr>
      <vt:lpstr>Customer</vt:lpstr>
      <vt:lpstr>Customer_PIC</vt:lpstr>
      <vt:lpstr>Agent</vt:lpstr>
      <vt:lpstr>Agent_PIC</vt:lpstr>
      <vt:lpstr>Employee</vt:lpstr>
      <vt:lpstr>Employee_CV</vt:lpstr>
      <vt:lpstr>Employee_salary</vt:lpstr>
      <vt:lpstr>Notification</vt:lpstr>
      <vt:lpstr>bank setup</vt:lpstr>
      <vt:lpstr>Account setup</vt:lpstr>
      <vt:lpstr>Inquiry reportmen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2026-10-27T13:05:04Z</dcterms:modified>
</cp:coreProperties>
</file>